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cdf295b4b9a569/Documents/Accounting Projects/"/>
    </mc:Choice>
  </mc:AlternateContent>
  <xr:revisionPtr revIDLastSave="508" documentId="8_{D8E3CF29-0650-45BB-954D-DD5A3F781124}" xr6:coauthVersionLast="47" xr6:coauthVersionMax="47" xr10:uidLastSave="{1353F75E-5436-4F49-9323-CA47BCAD157D}"/>
  <bookViews>
    <workbookView xWindow="-120" yWindow="-120" windowWidth="20730" windowHeight="11040" xr2:uid="{32A5A822-0048-4D23-93DC-9A2F15575EB4}"/>
  </bookViews>
  <sheets>
    <sheet name="Project Overview" sheetId="8" r:id="rId1"/>
    <sheet name="Chart of Accounts" sheetId="1" r:id="rId2"/>
    <sheet name="Journal_Entries" sheetId="2" r:id="rId3"/>
    <sheet name="General Ledger" sheetId="3" r:id="rId4"/>
    <sheet name="Trial Balance " sheetId="4" r:id="rId5"/>
    <sheet name="Income Statement" sheetId="5" r:id="rId6"/>
    <sheet name="Balance Sheet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6" l="1"/>
  <c r="B19" i="6"/>
  <c r="B13" i="6"/>
  <c r="B9" i="6"/>
  <c r="B18" i="5"/>
  <c r="B16" i="5"/>
  <c r="B15" i="5"/>
  <c r="B13" i="5"/>
  <c r="B9" i="5"/>
  <c r="C15" i="4"/>
  <c r="B9" i="4"/>
  <c r="B10" i="4"/>
  <c r="E6" i="3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Q31" i="3"/>
  <c r="Q32" i="3" s="1"/>
  <c r="Q33" i="3" s="1"/>
  <c r="Q34" i="3" s="1"/>
  <c r="Q35" i="3" s="1"/>
  <c r="Q16" i="3"/>
  <c r="Q6" i="3"/>
  <c r="Q7" i="3" s="1"/>
  <c r="K6" i="3"/>
  <c r="K7" i="3" s="1"/>
  <c r="K8" i="3" s="1"/>
  <c r="K9" i="3" s="1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B15" i="4" l="1"/>
</calcChain>
</file>

<file path=xl/sharedStrings.xml><?xml version="1.0" encoding="utf-8"?>
<sst xmlns="http://schemas.openxmlformats.org/spreadsheetml/2006/main" count="276" uniqueCount="83">
  <si>
    <t>Chart of Accounts</t>
  </si>
  <si>
    <t>Account Code</t>
  </si>
  <si>
    <t>Account Name</t>
  </si>
  <si>
    <t>Cash</t>
  </si>
  <si>
    <t>Asset</t>
  </si>
  <si>
    <t>Bank</t>
  </si>
  <si>
    <t>Inventory</t>
  </si>
  <si>
    <t>Equipment</t>
  </si>
  <si>
    <t>Accounts Payable</t>
  </si>
  <si>
    <t>Liability</t>
  </si>
  <si>
    <t>Utilities Payable</t>
  </si>
  <si>
    <t>Owner Capital</t>
  </si>
  <si>
    <t>Equity</t>
  </si>
  <si>
    <t>Owner Drawings</t>
  </si>
  <si>
    <t>Sales Revenue</t>
  </si>
  <si>
    <t>Income</t>
  </si>
  <si>
    <t>Rent Expense</t>
  </si>
  <si>
    <t>Expense</t>
  </si>
  <si>
    <t>Salary Expense</t>
  </si>
  <si>
    <t>Utilities Expense</t>
  </si>
  <si>
    <t>Supplies Expense</t>
  </si>
  <si>
    <t>Account Type</t>
  </si>
  <si>
    <t xml:space="preserve">Company : </t>
  </si>
  <si>
    <t>GreenLeaf Coffee Shop</t>
  </si>
  <si>
    <t>Period:</t>
  </si>
  <si>
    <t xml:space="preserve"> January 2025</t>
  </si>
  <si>
    <t xml:space="preserve">Currency: </t>
  </si>
  <si>
    <t>EUR</t>
  </si>
  <si>
    <t>Date</t>
  </si>
  <si>
    <t>Description</t>
  </si>
  <si>
    <t>Debit Account</t>
  </si>
  <si>
    <t>Debit (€)</t>
  </si>
  <si>
    <t>Credit Account</t>
  </si>
  <si>
    <t>Credit (€)</t>
  </si>
  <si>
    <t>Owner invested cash</t>
  </si>
  <si>
    <t>Bought coffee machine</t>
  </si>
  <si>
    <t>Purchased coffee beans inventory</t>
  </si>
  <si>
    <t>Paid January rent</t>
  </si>
  <si>
    <t>Coffee sales</t>
  </si>
  <si>
    <t>Bought shop supplies</t>
  </si>
  <si>
    <t>Paid electricity bill</t>
  </si>
  <si>
    <t>Purchased inventory on credit</t>
  </si>
  <si>
    <t>Paid staff salary</t>
  </si>
  <si>
    <t>Paid supplier</t>
  </si>
  <si>
    <t>Bought cleaning supplies</t>
  </si>
  <si>
    <t>Paid water bill</t>
  </si>
  <si>
    <t>Owner withdrew cash</t>
  </si>
  <si>
    <t>Bought inventory</t>
  </si>
  <si>
    <t>Balance (€)</t>
  </si>
  <si>
    <t>Owner investment</t>
  </si>
  <si>
    <t>January rent</t>
  </si>
  <si>
    <t>Account : Equipment Ledger</t>
  </si>
  <si>
    <t>Account : Accounts Payable Ledger</t>
  </si>
  <si>
    <t>Account : Expance Ledger</t>
  </si>
  <si>
    <t>Account : Inventory Ledger</t>
  </si>
  <si>
    <t>Account : Cash Ledger</t>
  </si>
  <si>
    <t>Account : Sales Revenue Ledger</t>
  </si>
  <si>
    <t>Total</t>
  </si>
  <si>
    <t>Trial Balance</t>
  </si>
  <si>
    <t>Coffee beans inventory</t>
  </si>
  <si>
    <t>Journal Entries</t>
  </si>
  <si>
    <t>Coffee Shop Income Statement</t>
  </si>
  <si>
    <t>For the Month Ended 30-01-2025</t>
  </si>
  <si>
    <t>Revenue</t>
  </si>
  <si>
    <t>Total Revenue</t>
  </si>
  <si>
    <t>Expenses</t>
  </si>
  <si>
    <t>Total Expenses</t>
  </si>
  <si>
    <t>Net Profit</t>
  </si>
  <si>
    <t>Item</t>
  </si>
  <si>
    <t>Amount</t>
  </si>
  <si>
    <t>Coffee Shop Balance Sheet</t>
  </si>
  <si>
    <t>As of 30-01-2025</t>
  </si>
  <si>
    <t>Assets</t>
  </si>
  <si>
    <t>Total Assets</t>
  </si>
  <si>
    <t>Liabilities</t>
  </si>
  <si>
    <t>Total Liabilities</t>
  </si>
  <si>
    <t>Owner’s Equity</t>
  </si>
  <si>
    <t>Add: Net Profit</t>
  </si>
  <si>
    <t>Less: Drawings</t>
  </si>
  <si>
    <t>Total Equity</t>
  </si>
  <si>
    <t>Total Liabilities + Equity</t>
  </si>
  <si>
    <t>Small Business Bookkeeping Project – Coffee Shop</t>
  </si>
  <si>
    <t xml:space="preserve">Project Overview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</si>
</sst>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426]"/>
  </numFmts>
  <fonts count="7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8"/>
      <color theme="1"/>
      <name val="Calibri"/>
      <family val="2"/>
    </font>
    <font>
      <b/>
      <sz val="11"/>
      <color theme="0"/>
      <name val="Calibri"/>
      <family val="2"/>
    </font>
    <font>
      <b/>
      <sz val="16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64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4" fontId="0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/>
    <xf numFmtId="164" fontId="0" fillId="0" borderId="0" xfId="0" applyNumberFormat="1" applyAlignment="1">
      <alignment vertical="center" wrapText="1"/>
    </xf>
    <xf numFmtId="164" fontId="0" fillId="0" borderId="0" xfId="0" applyNumberFormat="1"/>
    <xf numFmtId="164" fontId="0" fillId="2" borderId="0" xfId="0" applyNumberFormat="1" applyFill="1" applyAlignment="1">
      <alignment vertical="center" wrapText="1"/>
    </xf>
    <xf numFmtId="164" fontId="0" fillId="0" borderId="0" xfId="0" applyNumberFormat="1" applyFont="1"/>
    <xf numFmtId="164" fontId="0" fillId="0" borderId="0" xfId="0" applyNumberFormat="1" applyFill="1"/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4" fontId="0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 wrapText="1"/>
    </xf>
    <xf numFmtId="164" fontId="0" fillId="0" borderId="0" xfId="0" applyNumberFormat="1" applyFont="1" applyAlignment="1">
      <alignment vertical="center" wrapText="1"/>
    </xf>
    <xf numFmtId="164" fontId="0" fillId="2" borderId="0" xfId="0" applyNumberFormat="1" applyFont="1" applyFill="1"/>
    <xf numFmtId="164" fontId="0" fillId="0" borderId="0" xfId="0" applyNumberFormat="1" applyFont="1" applyFill="1"/>
    <xf numFmtId="14" fontId="0" fillId="3" borderId="0" xfId="0" applyNumberFormat="1" applyFont="1" applyFill="1" applyAlignment="1">
      <alignment vertical="center" wrapText="1"/>
    </xf>
    <xf numFmtId="0" fontId="0" fillId="3" borderId="0" xfId="0" applyFont="1" applyFill="1" applyAlignment="1">
      <alignment vertical="center" wrapText="1"/>
    </xf>
    <xf numFmtId="164" fontId="0" fillId="3" borderId="0" xfId="0" applyNumberFormat="1" applyFont="1" applyFill="1" applyAlignment="1">
      <alignment vertical="center" wrapText="1"/>
    </xf>
    <xf numFmtId="14" fontId="0" fillId="3" borderId="0" xfId="0" applyNumberFormat="1" applyFont="1" applyFill="1" applyAlignment="1">
      <alignment horizontal="center" vertical="center" wrapText="1"/>
    </xf>
    <xf numFmtId="0" fontId="0" fillId="3" borderId="0" xfId="0" applyFont="1" applyFill="1" applyAlignment="1">
      <alignment horizontal="center" vertical="center" wrapText="1"/>
    </xf>
    <xf numFmtId="164" fontId="0" fillId="3" borderId="0" xfId="0" applyNumberFormat="1" applyFont="1" applyFill="1"/>
    <xf numFmtId="14" fontId="0" fillId="4" borderId="0" xfId="0" applyNumberFormat="1" applyFont="1" applyFill="1" applyAlignment="1">
      <alignment horizontal="center" vertical="center" wrapText="1"/>
    </xf>
    <xf numFmtId="0" fontId="0" fillId="4" borderId="0" xfId="0" applyFont="1" applyFill="1" applyAlignment="1">
      <alignment horizontal="center" vertical="center" wrapText="1"/>
    </xf>
    <xf numFmtId="164" fontId="0" fillId="4" borderId="0" xfId="0" applyNumberFormat="1" applyFont="1" applyFill="1"/>
    <xf numFmtId="164" fontId="0" fillId="2" borderId="0" xfId="0" applyNumberFormat="1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164" fontId="1" fillId="2" borderId="0" xfId="0" applyNumberFormat="1" applyFont="1" applyFill="1" applyAlignment="1">
      <alignment vertical="center" wrapText="1"/>
    </xf>
    <xf numFmtId="3" fontId="1" fillId="0" borderId="0" xfId="0" applyNumberFormat="1" applyFont="1" applyAlignment="1">
      <alignment vertical="center" wrapText="1"/>
    </xf>
    <xf numFmtId="0" fontId="5" fillId="5" borderId="0" xfId="0" applyFont="1" applyFill="1" applyAlignment="1">
      <alignment vertical="center" wrapText="1"/>
    </xf>
    <xf numFmtId="0" fontId="0" fillId="5" borderId="0" xfId="0" applyFill="1" applyAlignment="1">
      <alignment vertical="center" wrapText="1"/>
    </xf>
    <xf numFmtId="3" fontId="1" fillId="2" borderId="0" xfId="0" applyNumberFormat="1" applyFont="1" applyFill="1" applyAlignment="1">
      <alignment vertical="center" wrapText="1"/>
    </xf>
  </cellXfs>
  <cellStyles count="1">
    <cellStyle name="Normal" xfId="0" builtinId="0"/>
  </cellStyles>
  <dxfs count="65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164" formatCode="#,##0.00\ [$€-426]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164" formatCode="#,##0.00\ [$€-426]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164" formatCode="#,##0.00\ [$€-426]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164" formatCode="#,##0.00\ [$€-426]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164" formatCode="#,##0.00\ [$€-426]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164" formatCode="#,##0.00\ [$€-426]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164" formatCode="#,##0.00\ [$€-426]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164" formatCode="#,##0.00\ [$€-426]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164" formatCode="#,##0.00\ [$€-426]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numFmt numFmtId="164" formatCode="#,##0.00\ [$€-426]"/>
      <alignment horizontal="general" vertical="center" textRotation="0" wrapText="1" indent="0" justifyLastLine="0" shrinkToFit="0" readingOrder="0"/>
    </dxf>
    <dxf>
      <numFmt numFmtId="164" formatCode="#,##0.00\ [$€-426]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#,##0.00\ [$€-426]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#,##0.00\ [$€-426]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A215595A-CF4D-4DB0-BE1F-A625DE13A66C}" type="doc">
      <dgm:prSet loTypeId="urn:microsoft.com/office/officeart/2008/layout/VerticalCurvedList" loCatId="list" qsTypeId="urn:microsoft.com/office/officeart/2005/8/quickstyle/simple3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C3ADFCFC-3E43-45D2-8DB5-0C01CEF912C9}">
      <dgm:prSet phldrT="[Text]"/>
      <dgm:spPr/>
      <dgm:t>
        <a:bodyPr/>
        <a:lstStyle/>
        <a:p>
          <a:pPr>
            <a:buNone/>
          </a:pPr>
          <a:r>
            <a:rPr lang="en-US"/>
            <a:t>Recording journal entries</a:t>
          </a:r>
        </a:p>
      </dgm:t>
    </dgm:pt>
    <dgm:pt modelId="{3D302957-28CA-4E05-A63A-27EE94A86AA8}" type="parTrans" cxnId="{0C5D5EAC-63AA-4D9C-8155-1DC1CCAEFED0}">
      <dgm:prSet/>
      <dgm:spPr/>
      <dgm:t>
        <a:bodyPr/>
        <a:lstStyle/>
        <a:p>
          <a:endParaRPr lang="en-US"/>
        </a:p>
      </dgm:t>
    </dgm:pt>
    <dgm:pt modelId="{C38BAF72-B553-4CB6-9DFB-CE8DEE880C5A}" type="sibTrans" cxnId="{0C5D5EAC-63AA-4D9C-8155-1DC1CCAEFED0}">
      <dgm:prSet/>
      <dgm:spPr/>
      <dgm:t>
        <a:bodyPr/>
        <a:lstStyle/>
        <a:p>
          <a:endParaRPr lang="en-US"/>
        </a:p>
      </dgm:t>
    </dgm:pt>
    <dgm:pt modelId="{A5C4633E-0EF9-401B-880E-FA33CB905974}">
      <dgm:prSet/>
      <dgm:spPr/>
      <dgm:t>
        <a:bodyPr/>
        <a:lstStyle/>
        <a:p>
          <a:pPr>
            <a:buNone/>
          </a:pPr>
          <a:r>
            <a:rPr lang="en-US"/>
            <a:t>Posting to ledger accounts</a:t>
          </a:r>
        </a:p>
      </dgm:t>
    </dgm:pt>
    <dgm:pt modelId="{C053558B-AB7B-42D7-83DB-A44BB10060D2}" type="sibTrans" cxnId="{620FBFBE-08D7-46D6-9466-508B93DDBA50}">
      <dgm:prSet/>
      <dgm:spPr/>
      <dgm:t>
        <a:bodyPr/>
        <a:lstStyle/>
        <a:p>
          <a:endParaRPr lang="en-US"/>
        </a:p>
      </dgm:t>
    </dgm:pt>
    <dgm:pt modelId="{0A4E1BE8-EA07-43A8-858F-F804182E5743}" type="parTrans" cxnId="{620FBFBE-08D7-46D6-9466-508B93DDBA50}">
      <dgm:prSet/>
      <dgm:spPr/>
      <dgm:t>
        <a:bodyPr/>
        <a:lstStyle/>
        <a:p>
          <a:endParaRPr lang="en-US"/>
        </a:p>
      </dgm:t>
    </dgm:pt>
    <dgm:pt modelId="{0B114B97-F6F5-4714-A758-4315B60EAEAD}">
      <dgm:prSet phldrT="[Text]"/>
      <dgm:spPr/>
      <dgm:t>
        <a:bodyPr/>
        <a:lstStyle/>
        <a:p>
          <a:pPr>
            <a:buNone/>
          </a:pPr>
          <a:r>
            <a:rPr lang="en-US"/>
            <a:t>Preparing trial balance</a:t>
          </a:r>
        </a:p>
      </dgm:t>
    </dgm:pt>
    <dgm:pt modelId="{6B30A300-6891-4643-8863-C675B2606E5D}" type="sibTrans" cxnId="{0F0F7542-5351-47BD-BC36-9EAE8C5E6424}">
      <dgm:prSet/>
      <dgm:spPr/>
      <dgm:t>
        <a:bodyPr/>
        <a:lstStyle/>
        <a:p>
          <a:endParaRPr lang="en-US"/>
        </a:p>
      </dgm:t>
    </dgm:pt>
    <dgm:pt modelId="{A6AC7D25-1E76-486E-8ACB-FF359A5FDF5D}" type="parTrans" cxnId="{0F0F7542-5351-47BD-BC36-9EAE8C5E6424}">
      <dgm:prSet/>
      <dgm:spPr/>
      <dgm:t>
        <a:bodyPr/>
        <a:lstStyle/>
        <a:p>
          <a:endParaRPr lang="en-US"/>
        </a:p>
      </dgm:t>
    </dgm:pt>
    <dgm:pt modelId="{F0DC0C89-AB7C-45A2-8C58-F7F4B0B7B3E9}">
      <dgm:prSet phldrT="[Text]"/>
      <dgm:spPr/>
      <dgm:t>
        <a:bodyPr/>
        <a:lstStyle/>
        <a:p>
          <a:pPr>
            <a:buNone/>
          </a:pPr>
          <a:r>
            <a:rPr lang="en-US"/>
            <a:t>Preparing financial statements</a:t>
          </a:r>
        </a:p>
      </dgm:t>
    </dgm:pt>
    <dgm:pt modelId="{031869D9-5C91-424D-AFBD-2A0EA3EC7629}" type="sibTrans" cxnId="{FA353A7B-A9E3-461C-AC85-87B019B44357}">
      <dgm:prSet/>
      <dgm:spPr/>
      <dgm:t>
        <a:bodyPr/>
        <a:lstStyle/>
        <a:p>
          <a:endParaRPr lang="en-US"/>
        </a:p>
      </dgm:t>
    </dgm:pt>
    <dgm:pt modelId="{14B77998-9175-4EA5-B568-34BA56FEF4D1}" type="parTrans" cxnId="{FA353A7B-A9E3-461C-AC85-87B019B44357}">
      <dgm:prSet/>
      <dgm:spPr/>
      <dgm:t>
        <a:bodyPr/>
        <a:lstStyle/>
        <a:p>
          <a:endParaRPr lang="en-US"/>
        </a:p>
      </dgm:t>
    </dgm:pt>
    <dgm:pt modelId="{B7B3A6C4-07C1-4D54-A1F6-3E12EF7A7C4F}" type="pres">
      <dgm:prSet presAssocID="{A215595A-CF4D-4DB0-BE1F-A625DE13A66C}" presName="Name0" presStyleCnt="0">
        <dgm:presLayoutVars>
          <dgm:chMax val="7"/>
          <dgm:chPref val="7"/>
          <dgm:dir/>
        </dgm:presLayoutVars>
      </dgm:prSet>
      <dgm:spPr/>
    </dgm:pt>
    <dgm:pt modelId="{AAA6594C-26CF-4F0A-BAD3-4346B8000D7F}" type="pres">
      <dgm:prSet presAssocID="{A215595A-CF4D-4DB0-BE1F-A625DE13A66C}" presName="Name1" presStyleCnt="0"/>
      <dgm:spPr/>
    </dgm:pt>
    <dgm:pt modelId="{56971B9F-BA67-4DDD-B2EF-B15A3FC3D182}" type="pres">
      <dgm:prSet presAssocID="{A215595A-CF4D-4DB0-BE1F-A625DE13A66C}" presName="cycle" presStyleCnt="0"/>
      <dgm:spPr/>
    </dgm:pt>
    <dgm:pt modelId="{BAD4FC4D-C74F-4E55-8481-56CE6AA8D160}" type="pres">
      <dgm:prSet presAssocID="{A215595A-CF4D-4DB0-BE1F-A625DE13A66C}" presName="srcNode" presStyleLbl="node1" presStyleIdx="0" presStyleCnt="4"/>
      <dgm:spPr/>
    </dgm:pt>
    <dgm:pt modelId="{F2C86822-C176-4AE8-9BF8-33D8A0755E15}" type="pres">
      <dgm:prSet presAssocID="{A215595A-CF4D-4DB0-BE1F-A625DE13A66C}" presName="conn" presStyleLbl="parChTrans1D2" presStyleIdx="0" presStyleCnt="1"/>
      <dgm:spPr/>
    </dgm:pt>
    <dgm:pt modelId="{3C348BED-E415-4E30-A1E2-3F12144678A4}" type="pres">
      <dgm:prSet presAssocID="{A215595A-CF4D-4DB0-BE1F-A625DE13A66C}" presName="extraNode" presStyleLbl="node1" presStyleIdx="0" presStyleCnt="4"/>
      <dgm:spPr/>
    </dgm:pt>
    <dgm:pt modelId="{E17A0E67-E809-400B-9F5A-80D7E567EEC5}" type="pres">
      <dgm:prSet presAssocID="{A215595A-CF4D-4DB0-BE1F-A625DE13A66C}" presName="dstNode" presStyleLbl="node1" presStyleIdx="0" presStyleCnt="4"/>
      <dgm:spPr/>
    </dgm:pt>
    <dgm:pt modelId="{655A55C6-64E1-4E76-A8EE-A2D0EA0AF0B7}" type="pres">
      <dgm:prSet presAssocID="{C3ADFCFC-3E43-45D2-8DB5-0C01CEF912C9}" presName="text_1" presStyleLbl="node1" presStyleIdx="0" presStyleCnt="4">
        <dgm:presLayoutVars>
          <dgm:bulletEnabled val="1"/>
        </dgm:presLayoutVars>
      </dgm:prSet>
      <dgm:spPr/>
    </dgm:pt>
    <dgm:pt modelId="{09884B22-907F-4C9D-B7B9-38FF19254858}" type="pres">
      <dgm:prSet presAssocID="{C3ADFCFC-3E43-45D2-8DB5-0C01CEF912C9}" presName="accent_1" presStyleCnt="0"/>
      <dgm:spPr/>
    </dgm:pt>
    <dgm:pt modelId="{F488E9C7-C606-4802-ABD7-36BCE1D143EA}" type="pres">
      <dgm:prSet presAssocID="{C3ADFCFC-3E43-45D2-8DB5-0C01CEF912C9}" presName="accentRepeatNode" presStyleLbl="solidFgAcc1" presStyleIdx="0" presStyleCnt="4"/>
      <dgm:spPr/>
    </dgm:pt>
    <dgm:pt modelId="{07173E1C-B1F5-4C3B-A3E6-92793B9479F0}" type="pres">
      <dgm:prSet presAssocID="{A5C4633E-0EF9-401B-880E-FA33CB905974}" presName="text_2" presStyleLbl="node1" presStyleIdx="1" presStyleCnt="4">
        <dgm:presLayoutVars>
          <dgm:bulletEnabled val="1"/>
        </dgm:presLayoutVars>
      </dgm:prSet>
      <dgm:spPr/>
    </dgm:pt>
    <dgm:pt modelId="{6BEE1F3E-0180-40CB-BE91-E9AD6E7B3ED5}" type="pres">
      <dgm:prSet presAssocID="{A5C4633E-0EF9-401B-880E-FA33CB905974}" presName="accent_2" presStyleCnt="0"/>
      <dgm:spPr/>
    </dgm:pt>
    <dgm:pt modelId="{EC1EE2EA-B65F-4D8E-906A-970B794570A2}" type="pres">
      <dgm:prSet presAssocID="{A5C4633E-0EF9-401B-880E-FA33CB905974}" presName="accentRepeatNode" presStyleLbl="solidFgAcc1" presStyleIdx="1" presStyleCnt="4"/>
      <dgm:spPr/>
    </dgm:pt>
    <dgm:pt modelId="{B42075BA-237B-4030-8ADB-3CC275FEB815}" type="pres">
      <dgm:prSet presAssocID="{0B114B97-F6F5-4714-A758-4315B60EAEAD}" presName="text_3" presStyleLbl="node1" presStyleIdx="2" presStyleCnt="4" custLinFactNeighborX="-239" custLinFactNeighborY="4514">
        <dgm:presLayoutVars>
          <dgm:bulletEnabled val="1"/>
        </dgm:presLayoutVars>
      </dgm:prSet>
      <dgm:spPr/>
    </dgm:pt>
    <dgm:pt modelId="{6C5D259F-EFBD-4071-9661-2B73A6284A32}" type="pres">
      <dgm:prSet presAssocID="{0B114B97-F6F5-4714-A758-4315B60EAEAD}" presName="accent_3" presStyleCnt="0"/>
      <dgm:spPr/>
    </dgm:pt>
    <dgm:pt modelId="{A2FF0F06-EED8-4F12-9C90-08B3871AC3D1}" type="pres">
      <dgm:prSet presAssocID="{0B114B97-F6F5-4714-A758-4315B60EAEAD}" presName="accentRepeatNode" presStyleLbl="solidFgAcc1" presStyleIdx="2" presStyleCnt="4"/>
      <dgm:spPr/>
    </dgm:pt>
    <dgm:pt modelId="{CE8BAE64-A62D-4509-B46C-801EB3784B42}" type="pres">
      <dgm:prSet presAssocID="{F0DC0C89-AB7C-45A2-8C58-F7F4B0B7B3E9}" presName="text_4" presStyleLbl="node1" presStyleIdx="3" presStyleCnt="4">
        <dgm:presLayoutVars>
          <dgm:bulletEnabled val="1"/>
        </dgm:presLayoutVars>
      </dgm:prSet>
      <dgm:spPr/>
    </dgm:pt>
    <dgm:pt modelId="{963127FD-2BEE-4061-AF9C-FD9A5496CDD8}" type="pres">
      <dgm:prSet presAssocID="{F0DC0C89-AB7C-45A2-8C58-F7F4B0B7B3E9}" presName="accent_4" presStyleCnt="0"/>
      <dgm:spPr/>
    </dgm:pt>
    <dgm:pt modelId="{B3B453F7-9905-4A87-864D-A501AB0CC9FA}" type="pres">
      <dgm:prSet presAssocID="{F0DC0C89-AB7C-45A2-8C58-F7F4B0B7B3E9}" presName="accentRepeatNode" presStyleLbl="solidFgAcc1" presStyleIdx="3" presStyleCnt="4"/>
      <dgm:spPr/>
    </dgm:pt>
  </dgm:ptLst>
  <dgm:cxnLst>
    <dgm:cxn modelId="{510D0710-2F82-42FE-A86F-2D607909AA3B}" type="presOf" srcId="{C3ADFCFC-3E43-45D2-8DB5-0C01CEF912C9}" destId="{655A55C6-64E1-4E76-A8EE-A2D0EA0AF0B7}" srcOrd="0" destOrd="0" presId="urn:microsoft.com/office/officeart/2008/layout/VerticalCurvedList"/>
    <dgm:cxn modelId="{7CC9A51C-6673-4F73-BCB4-F6005EB8B1E4}" type="presOf" srcId="{F0DC0C89-AB7C-45A2-8C58-F7F4B0B7B3E9}" destId="{CE8BAE64-A62D-4509-B46C-801EB3784B42}" srcOrd="0" destOrd="0" presId="urn:microsoft.com/office/officeart/2008/layout/VerticalCurvedList"/>
    <dgm:cxn modelId="{0F0F7542-5351-47BD-BC36-9EAE8C5E6424}" srcId="{A215595A-CF4D-4DB0-BE1F-A625DE13A66C}" destId="{0B114B97-F6F5-4714-A758-4315B60EAEAD}" srcOrd="2" destOrd="0" parTransId="{A6AC7D25-1E76-486E-8ACB-FF359A5FDF5D}" sibTransId="{6B30A300-6891-4643-8863-C675B2606E5D}"/>
    <dgm:cxn modelId="{2DFE1873-7C0F-4CD5-A800-8D4E3F0FCD0F}" type="presOf" srcId="{C38BAF72-B553-4CB6-9DFB-CE8DEE880C5A}" destId="{F2C86822-C176-4AE8-9BF8-33D8A0755E15}" srcOrd="0" destOrd="0" presId="urn:microsoft.com/office/officeart/2008/layout/VerticalCurvedList"/>
    <dgm:cxn modelId="{FA353A7B-A9E3-461C-AC85-87B019B44357}" srcId="{A215595A-CF4D-4DB0-BE1F-A625DE13A66C}" destId="{F0DC0C89-AB7C-45A2-8C58-F7F4B0B7B3E9}" srcOrd="3" destOrd="0" parTransId="{14B77998-9175-4EA5-B568-34BA56FEF4D1}" sibTransId="{031869D9-5C91-424D-AFBD-2A0EA3EC7629}"/>
    <dgm:cxn modelId="{F507867E-6A05-4479-8C76-336BA337B99B}" type="presOf" srcId="{A5C4633E-0EF9-401B-880E-FA33CB905974}" destId="{07173E1C-B1F5-4C3B-A3E6-92793B9479F0}" srcOrd="0" destOrd="0" presId="urn:microsoft.com/office/officeart/2008/layout/VerticalCurvedList"/>
    <dgm:cxn modelId="{0C5D5EAC-63AA-4D9C-8155-1DC1CCAEFED0}" srcId="{A215595A-CF4D-4DB0-BE1F-A625DE13A66C}" destId="{C3ADFCFC-3E43-45D2-8DB5-0C01CEF912C9}" srcOrd="0" destOrd="0" parTransId="{3D302957-28CA-4E05-A63A-27EE94A86AA8}" sibTransId="{C38BAF72-B553-4CB6-9DFB-CE8DEE880C5A}"/>
    <dgm:cxn modelId="{0D684CAD-987B-4601-B914-97B227ADFA64}" type="presOf" srcId="{A215595A-CF4D-4DB0-BE1F-A625DE13A66C}" destId="{B7B3A6C4-07C1-4D54-A1F6-3E12EF7A7C4F}" srcOrd="0" destOrd="0" presId="urn:microsoft.com/office/officeart/2008/layout/VerticalCurvedList"/>
    <dgm:cxn modelId="{620FBFBE-08D7-46D6-9466-508B93DDBA50}" srcId="{A215595A-CF4D-4DB0-BE1F-A625DE13A66C}" destId="{A5C4633E-0EF9-401B-880E-FA33CB905974}" srcOrd="1" destOrd="0" parTransId="{0A4E1BE8-EA07-43A8-858F-F804182E5743}" sibTransId="{C053558B-AB7B-42D7-83DB-A44BB10060D2}"/>
    <dgm:cxn modelId="{C8F629EB-DEEB-4DD1-9FD0-CA8712043D62}" type="presOf" srcId="{0B114B97-F6F5-4714-A758-4315B60EAEAD}" destId="{B42075BA-237B-4030-8ADB-3CC275FEB815}" srcOrd="0" destOrd="0" presId="urn:microsoft.com/office/officeart/2008/layout/VerticalCurvedList"/>
    <dgm:cxn modelId="{9CA864ED-5330-44E1-A11F-44071C090788}" type="presParOf" srcId="{B7B3A6C4-07C1-4D54-A1F6-3E12EF7A7C4F}" destId="{AAA6594C-26CF-4F0A-BAD3-4346B8000D7F}" srcOrd="0" destOrd="0" presId="urn:microsoft.com/office/officeart/2008/layout/VerticalCurvedList"/>
    <dgm:cxn modelId="{1283F0E1-FDDB-439A-B5B8-44147263033C}" type="presParOf" srcId="{AAA6594C-26CF-4F0A-BAD3-4346B8000D7F}" destId="{56971B9F-BA67-4DDD-B2EF-B15A3FC3D182}" srcOrd="0" destOrd="0" presId="urn:microsoft.com/office/officeart/2008/layout/VerticalCurvedList"/>
    <dgm:cxn modelId="{2DDBE0FF-3235-40BD-94A0-47BA6F486B4D}" type="presParOf" srcId="{56971B9F-BA67-4DDD-B2EF-B15A3FC3D182}" destId="{BAD4FC4D-C74F-4E55-8481-56CE6AA8D160}" srcOrd="0" destOrd="0" presId="urn:microsoft.com/office/officeart/2008/layout/VerticalCurvedList"/>
    <dgm:cxn modelId="{9C048576-A233-4783-B3BA-B1D71463D17E}" type="presParOf" srcId="{56971B9F-BA67-4DDD-B2EF-B15A3FC3D182}" destId="{F2C86822-C176-4AE8-9BF8-33D8A0755E15}" srcOrd="1" destOrd="0" presId="urn:microsoft.com/office/officeart/2008/layout/VerticalCurvedList"/>
    <dgm:cxn modelId="{FF6B653B-8A2E-4C0F-A175-023B80E787D2}" type="presParOf" srcId="{56971B9F-BA67-4DDD-B2EF-B15A3FC3D182}" destId="{3C348BED-E415-4E30-A1E2-3F12144678A4}" srcOrd="2" destOrd="0" presId="urn:microsoft.com/office/officeart/2008/layout/VerticalCurvedList"/>
    <dgm:cxn modelId="{569C289F-4D88-4A8F-BDB7-A5E3829DED49}" type="presParOf" srcId="{56971B9F-BA67-4DDD-B2EF-B15A3FC3D182}" destId="{E17A0E67-E809-400B-9F5A-80D7E567EEC5}" srcOrd="3" destOrd="0" presId="urn:microsoft.com/office/officeart/2008/layout/VerticalCurvedList"/>
    <dgm:cxn modelId="{3DB7D678-70E7-4545-88A6-09586B6C561A}" type="presParOf" srcId="{AAA6594C-26CF-4F0A-BAD3-4346B8000D7F}" destId="{655A55C6-64E1-4E76-A8EE-A2D0EA0AF0B7}" srcOrd="1" destOrd="0" presId="urn:microsoft.com/office/officeart/2008/layout/VerticalCurvedList"/>
    <dgm:cxn modelId="{8A888982-EC3D-4F5E-8DBB-5AB1DE7CA83C}" type="presParOf" srcId="{AAA6594C-26CF-4F0A-BAD3-4346B8000D7F}" destId="{09884B22-907F-4C9D-B7B9-38FF19254858}" srcOrd="2" destOrd="0" presId="urn:microsoft.com/office/officeart/2008/layout/VerticalCurvedList"/>
    <dgm:cxn modelId="{7292E06A-8C74-4267-B90F-AD35A8D8D280}" type="presParOf" srcId="{09884B22-907F-4C9D-B7B9-38FF19254858}" destId="{F488E9C7-C606-4802-ABD7-36BCE1D143EA}" srcOrd="0" destOrd="0" presId="urn:microsoft.com/office/officeart/2008/layout/VerticalCurvedList"/>
    <dgm:cxn modelId="{1E9B6CCE-E5E1-4401-BB6C-A69D7DF92938}" type="presParOf" srcId="{AAA6594C-26CF-4F0A-BAD3-4346B8000D7F}" destId="{07173E1C-B1F5-4C3B-A3E6-92793B9479F0}" srcOrd="3" destOrd="0" presId="urn:microsoft.com/office/officeart/2008/layout/VerticalCurvedList"/>
    <dgm:cxn modelId="{2110302B-77A4-475C-B203-13E9FAD59BE4}" type="presParOf" srcId="{AAA6594C-26CF-4F0A-BAD3-4346B8000D7F}" destId="{6BEE1F3E-0180-40CB-BE91-E9AD6E7B3ED5}" srcOrd="4" destOrd="0" presId="urn:microsoft.com/office/officeart/2008/layout/VerticalCurvedList"/>
    <dgm:cxn modelId="{166C8588-5A42-4295-8CAF-025F9B55097B}" type="presParOf" srcId="{6BEE1F3E-0180-40CB-BE91-E9AD6E7B3ED5}" destId="{EC1EE2EA-B65F-4D8E-906A-970B794570A2}" srcOrd="0" destOrd="0" presId="urn:microsoft.com/office/officeart/2008/layout/VerticalCurvedList"/>
    <dgm:cxn modelId="{1D6B494B-11C3-4DAE-B477-421A657E9FA7}" type="presParOf" srcId="{AAA6594C-26CF-4F0A-BAD3-4346B8000D7F}" destId="{B42075BA-237B-4030-8ADB-3CC275FEB815}" srcOrd="5" destOrd="0" presId="urn:microsoft.com/office/officeart/2008/layout/VerticalCurvedList"/>
    <dgm:cxn modelId="{1DFAA2EB-F46C-4A24-A443-1CE1AFCDC0CB}" type="presParOf" srcId="{AAA6594C-26CF-4F0A-BAD3-4346B8000D7F}" destId="{6C5D259F-EFBD-4071-9661-2B73A6284A32}" srcOrd="6" destOrd="0" presId="urn:microsoft.com/office/officeart/2008/layout/VerticalCurvedList"/>
    <dgm:cxn modelId="{66C92DB5-1664-4088-B76A-1ECF68897521}" type="presParOf" srcId="{6C5D259F-EFBD-4071-9661-2B73A6284A32}" destId="{A2FF0F06-EED8-4F12-9C90-08B3871AC3D1}" srcOrd="0" destOrd="0" presId="urn:microsoft.com/office/officeart/2008/layout/VerticalCurvedList"/>
    <dgm:cxn modelId="{CF068301-EDFC-4B9F-A9D7-7A56A2D3033E}" type="presParOf" srcId="{AAA6594C-26CF-4F0A-BAD3-4346B8000D7F}" destId="{CE8BAE64-A62D-4509-B46C-801EB3784B42}" srcOrd="7" destOrd="0" presId="urn:microsoft.com/office/officeart/2008/layout/VerticalCurvedList"/>
    <dgm:cxn modelId="{A796B763-4FC4-4223-A1DD-88C9AF55C2A2}" type="presParOf" srcId="{AAA6594C-26CF-4F0A-BAD3-4346B8000D7F}" destId="{963127FD-2BEE-4061-AF9C-FD9A5496CDD8}" srcOrd="8" destOrd="0" presId="urn:microsoft.com/office/officeart/2008/layout/VerticalCurvedList"/>
    <dgm:cxn modelId="{A364F336-F0D1-4327-831B-B890E4E7B93C}" type="presParOf" srcId="{963127FD-2BEE-4061-AF9C-FD9A5496CDD8}" destId="{B3B453F7-9905-4A87-864D-A501AB0CC9FA}" srcOrd="0" destOrd="0" presId="urn:microsoft.com/office/officeart/2008/layout/VerticalCurvedList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F2C86822-C176-4AE8-9BF8-33D8A0755E15}">
      <dsp:nvSpPr>
        <dsp:cNvPr id="0" name=""/>
        <dsp:cNvSpPr/>
      </dsp:nvSpPr>
      <dsp:spPr>
        <a:xfrm>
          <a:off x="-3100006" y="-477230"/>
          <a:ext cx="3697660" cy="3697660"/>
        </a:xfrm>
        <a:prstGeom prst="blockArc">
          <a:avLst>
            <a:gd name="adj1" fmla="val 18900000"/>
            <a:gd name="adj2" fmla="val 2700000"/>
            <a:gd name="adj3" fmla="val 584"/>
          </a:avLst>
        </a:pr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55A55C6-64E1-4E76-A8EE-A2D0EA0AF0B7}">
      <dsp:nvSpPr>
        <dsp:cNvPr id="0" name=""/>
        <dsp:cNvSpPr/>
      </dsp:nvSpPr>
      <dsp:spPr>
        <a:xfrm>
          <a:off x="313511" y="210897"/>
          <a:ext cx="4224162" cy="422013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34974" tIns="55880" rIns="55880" bIns="55880" numCol="1" spcCol="1270" anchor="ctr" anchorCtr="0">
          <a:noAutofit/>
        </a:bodyPr>
        <a:lstStyle/>
        <a:p>
          <a:pPr marL="0" lvl="0" indent="0" algn="l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200" kern="1200"/>
            <a:t>Recording journal entries</a:t>
          </a:r>
        </a:p>
      </dsp:txBody>
      <dsp:txXfrm>
        <a:off x="313511" y="210897"/>
        <a:ext cx="4224162" cy="422013"/>
      </dsp:txXfrm>
    </dsp:sp>
    <dsp:sp modelId="{F488E9C7-C606-4802-ABD7-36BCE1D143EA}">
      <dsp:nvSpPr>
        <dsp:cNvPr id="0" name=""/>
        <dsp:cNvSpPr/>
      </dsp:nvSpPr>
      <dsp:spPr>
        <a:xfrm>
          <a:off x="49753" y="158145"/>
          <a:ext cx="527517" cy="527517"/>
        </a:xfrm>
        <a:prstGeom prst="ellipse">
          <a:avLst/>
        </a:prstGeom>
        <a:gradFill rotWithShape="0">
          <a:gsLst>
            <a:gs pos="0">
              <a:schemeClr val="l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l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l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2">
          <a:scrgbClr r="0" g="0" b="0"/>
        </a:fillRef>
        <a:effectRef idx="0">
          <a:scrgbClr r="0" g="0" b="0"/>
        </a:effectRef>
        <a:fontRef idx="minor"/>
      </dsp:style>
    </dsp:sp>
    <dsp:sp modelId="{07173E1C-B1F5-4C3B-A3E6-92793B9479F0}">
      <dsp:nvSpPr>
        <dsp:cNvPr id="0" name=""/>
        <dsp:cNvSpPr/>
      </dsp:nvSpPr>
      <dsp:spPr>
        <a:xfrm>
          <a:off x="555462" y="844027"/>
          <a:ext cx="3982212" cy="422013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34974" tIns="55880" rIns="55880" bIns="55880" numCol="1" spcCol="1270" anchor="ctr" anchorCtr="0">
          <a:noAutofit/>
        </a:bodyPr>
        <a:lstStyle/>
        <a:p>
          <a:pPr marL="0" lvl="0" indent="0" algn="l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200" kern="1200"/>
            <a:t>Posting to ledger accounts</a:t>
          </a:r>
        </a:p>
      </dsp:txBody>
      <dsp:txXfrm>
        <a:off x="555462" y="844027"/>
        <a:ext cx="3982212" cy="422013"/>
      </dsp:txXfrm>
    </dsp:sp>
    <dsp:sp modelId="{EC1EE2EA-B65F-4D8E-906A-970B794570A2}">
      <dsp:nvSpPr>
        <dsp:cNvPr id="0" name=""/>
        <dsp:cNvSpPr/>
      </dsp:nvSpPr>
      <dsp:spPr>
        <a:xfrm>
          <a:off x="291703" y="791276"/>
          <a:ext cx="527517" cy="527517"/>
        </a:xfrm>
        <a:prstGeom prst="ellipse">
          <a:avLst/>
        </a:prstGeom>
        <a:gradFill rotWithShape="0">
          <a:gsLst>
            <a:gs pos="0">
              <a:schemeClr val="l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l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l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2">
          <a:scrgbClr r="0" g="0" b="0"/>
        </a:fillRef>
        <a:effectRef idx="0">
          <a:scrgbClr r="0" g="0" b="0"/>
        </a:effectRef>
        <a:fontRef idx="minor"/>
      </dsp:style>
    </dsp:sp>
    <dsp:sp modelId="{B42075BA-237B-4030-8ADB-3CC275FEB815}">
      <dsp:nvSpPr>
        <dsp:cNvPr id="0" name=""/>
        <dsp:cNvSpPr/>
      </dsp:nvSpPr>
      <dsp:spPr>
        <a:xfrm>
          <a:off x="545944" y="1496208"/>
          <a:ext cx="3982212" cy="422013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34974" tIns="55880" rIns="55880" bIns="55880" numCol="1" spcCol="1270" anchor="ctr" anchorCtr="0">
          <a:noAutofit/>
        </a:bodyPr>
        <a:lstStyle/>
        <a:p>
          <a:pPr marL="0" lvl="0" indent="0" algn="l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200" kern="1200"/>
            <a:t>Preparing trial balance</a:t>
          </a:r>
        </a:p>
      </dsp:txBody>
      <dsp:txXfrm>
        <a:off x="545944" y="1496208"/>
        <a:ext cx="3982212" cy="422013"/>
      </dsp:txXfrm>
    </dsp:sp>
    <dsp:sp modelId="{A2FF0F06-EED8-4F12-9C90-08B3871AC3D1}">
      <dsp:nvSpPr>
        <dsp:cNvPr id="0" name=""/>
        <dsp:cNvSpPr/>
      </dsp:nvSpPr>
      <dsp:spPr>
        <a:xfrm>
          <a:off x="291703" y="1424406"/>
          <a:ext cx="527517" cy="527517"/>
        </a:xfrm>
        <a:prstGeom prst="ellipse">
          <a:avLst/>
        </a:prstGeom>
        <a:gradFill rotWithShape="0">
          <a:gsLst>
            <a:gs pos="0">
              <a:schemeClr val="l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l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l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2">
          <a:scrgbClr r="0" g="0" b="0"/>
        </a:fillRef>
        <a:effectRef idx="0">
          <a:scrgbClr r="0" g="0" b="0"/>
        </a:effectRef>
        <a:fontRef idx="minor"/>
      </dsp:style>
    </dsp:sp>
    <dsp:sp modelId="{CE8BAE64-A62D-4509-B46C-801EB3784B42}">
      <dsp:nvSpPr>
        <dsp:cNvPr id="0" name=""/>
        <dsp:cNvSpPr/>
      </dsp:nvSpPr>
      <dsp:spPr>
        <a:xfrm>
          <a:off x="313511" y="2110288"/>
          <a:ext cx="4224162" cy="422013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334974" tIns="55880" rIns="55880" bIns="55880" numCol="1" spcCol="1270" anchor="ctr" anchorCtr="0">
          <a:noAutofit/>
        </a:bodyPr>
        <a:lstStyle/>
        <a:p>
          <a:pPr marL="0" lvl="0" indent="0" algn="l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200" kern="1200"/>
            <a:t>Preparing financial statements</a:t>
          </a:r>
        </a:p>
      </dsp:txBody>
      <dsp:txXfrm>
        <a:off x="313511" y="2110288"/>
        <a:ext cx="4224162" cy="422013"/>
      </dsp:txXfrm>
    </dsp:sp>
    <dsp:sp modelId="{B3B453F7-9905-4A87-864D-A501AB0CC9FA}">
      <dsp:nvSpPr>
        <dsp:cNvPr id="0" name=""/>
        <dsp:cNvSpPr/>
      </dsp:nvSpPr>
      <dsp:spPr>
        <a:xfrm>
          <a:off x="49753" y="2057537"/>
          <a:ext cx="527517" cy="527517"/>
        </a:xfrm>
        <a:prstGeom prst="ellipse">
          <a:avLst/>
        </a:prstGeom>
        <a:gradFill rotWithShape="0">
          <a:gsLst>
            <a:gs pos="0">
              <a:schemeClr val="l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l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l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1">
          <a:scrgbClr r="0" g="0" b="0"/>
        </a:lnRef>
        <a:fillRef idx="2">
          <a:scrgbClr r="0" g="0" b="0"/>
        </a:fillRef>
        <a:effectRef idx="0">
          <a:scrgbClr r="0" g="0" b="0"/>
        </a:effectRef>
        <a:fontRef idx="minor"/>
      </dsp:style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8/layout/VerticalCurvedList">
  <dgm:title val=""/>
  <dgm:desc val=""/>
  <dgm:catLst>
    <dgm:cat type="list" pri="20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ampData>
  <dgm:styleData>
    <dgm:dataModel>
      <dgm:ptLst>
        <dgm:pt modelId="0" type="doc"/>
        <dgm:pt modelId="1">
          <dgm:prSet phldr="1"/>
        </dgm:pt>
        <dgm:pt modelId="2">
          <dgm:prSet phldr="1"/>
        </dgm:pt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chMax val="7"/>
      <dgm:chPref val="7"/>
      <dgm:dir/>
    </dgm:varLst>
    <dgm:alg type="composite"/>
    <dgm:shape xmlns:r="http://schemas.openxmlformats.org/officeDocument/2006/relationships" r:blip="">
      <dgm:adjLst/>
    </dgm:shape>
    <dgm:constrLst>
      <dgm:constr type="w" for="ch" refType="h" refFor="ch" op="gte" fact="0.8"/>
    </dgm:constrLst>
    <dgm:layoutNode name="Name1">
      <dgm:alg type="composite"/>
      <dgm:shape xmlns:r="http://schemas.openxmlformats.org/officeDocument/2006/relationships" r:blip="">
        <dgm:adjLst/>
      </dgm:shape>
      <dgm:choose name="Name2">
        <dgm:if name="Name3" func="var" arg="dir" op="equ" val="norm">
          <dgm:choose name="Name4">
            <dgm:if name="Name5" axis="ch" ptType="node" func="cnt" op="equ" val="1">
              <dgm:constrLst>
                <dgm:constr type="h" for="ch" forName="cycle" refType="h"/>
                <dgm:constr type="w" for="ch" forName="cycle" refType="h" refFor="ch" refForName="cycle" fact="0.26"/>
                <dgm:constr type="l" for="ch" forName="cycle"/>
                <dgm:constr type="ctrY" for="ch" forName="cycle" refType="h" fact="0.5"/>
                <dgm:constr type="diam" for="ch" forName="cycle" refType="h" fact="1.344"/>
                <dgm:constr type="h" for="ch" forName="accent_1" refType="h" fact="0.625"/>
                <dgm:constr type="w" for="ch" forName="accent_1" refType="h" refFor="ch" refForName="accent_1" op="equ"/>
                <dgm:constr type="ctrY" for="ch" forName="accent_1" refType="h" fact="0.5"/>
                <dgm:constr type="ctrX" for="ch" forName="accent_1" refType="h" fact="0.2253"/>
                <dgm:constr type="l" for="ch" forName="text_1" refType="ctrX" refFor="ch" refForName="accent_1"/>
                <dgm:constr type="r" for="ch" forName="text_1" refType="w"/>
                <dgm:constr type="w" for="ch" forName="text_1" refType="h" refFor="ch" refForName="text_1" op="gte"/>
                <dgm:constr type="h" for="ch" forName="text_1" refType="h" refFor="ch" refForName="accent_1" fact="0.8"/>
                <dgm:constr type="ctrY" for="ch" forName="text_1" refType="ctrY" refFor="ch" refForName="accent_1"/>
                <dgm:constr type="lMarg" for="ch" forName="text_1" refType="w" refFor="ch" refForName="accent_1" fact="1.8"/>
                <dgm:constr type="primFontSz" for="ch" ptType="node" op="equ" val="65"/>
              </dgm:constrLst>
            </dgm:if>
            <dgm:if name="Name6" axis="ch" ptType="node" func="cnt" op="equ" val="2">
              <dgm:constrLst>
                <dgm:constr type="h" for="ch" forName="cycle" refType="h"/>
                <dgm:constr type="w" for="ch" forName="cycle" refType="h" refFor="ch" refForName="cycle" fact="0.26"/>
                <dgm:constr type="l" for="ch" forName="cycle"/>
                <dgm:constr type="ctrY" for="ch" forName="cycle" refType="h" fact="0.5"/>
                <dgm:constr type="diam" for="ch" forName="cycle" refType="h" fact="1.344"/>
                <dgm:constr type="h" for="ch" forName="accent_1" refType="h" fact="0.3571"/>
                <dgm:constr type="w" for="ch" forName="accent_1" refType="h" refFor="ch" refForName="accent_1" op="equ"/>
                <dgm:constr type="ctrY" for="ch" forName="accent_1" refType="h" fact="0.2857"/>
                <dgm:constr type="ctrX" for="ch" forName="accent_1" refType="h" fact="0.1891"/>
                <dgm:constr type="l" for="ch" forName="text_1" refType="ctrX" refFor="ch" refForName="accent_1"/>
                <dgm:constr type="r" for="ch" forName="text_1" refType="w"/>
                <dgm:constr type="w" for="ch" forName="text_1" refType="h" refFor="ch" refForName="text_1" op="gte"/>
                <dgm:constr type="h" for="ch" forName="text_1" refType="h" refFor="ch" refForName="accent_1" fact="0.8"/>
                <dgm:constr type="ctrY" for="ch" forName="text_1" refType="ctrY" refFor="ch" refForName="accent_1"/>
                <dgm:constr type="lMarg" for="ch" forName="text_1" refType="w" refFor="ch" refForName="accent_1" fact="1.8"/>
                <dgm:constr type="h" for="ch" forName="accent_2" refType="h" fact="0.3571"/>
                <dgm:constr type="w" for="ch" forName="accent_2" refType="h" refFor="ch" refForName="accent_2" op="equ"/>
                <dgm:constr type="ctrY" for="ch" forName="accent_2" refType="h" fact="0.7143"/>
                <dgm:constr type="ctrX" for="ch" forName="accent_2" refType="h" fact="0.1891"/>
                <dgm:constr type="l" for="ch" forName="text_2" refType="ctrX" refFor="ch" refForName="accent_2"/>
                <dgm:constr type="r" for="ch" forName="text_2" refType="w"/>
                <dgm:constr type="w" for="ch" forName="text_2" refType="h" refFor="ch" refForName="text_2" op="gte"/>
                <dgm:constr type="h" for="ch" forName="text_2" refType="h" refFor="ch" refForName="accent_2" fact="0.8"/>
                <dgm:constr type="ctrY" for="ch" forName="text_2" refType="ctrY" refFor="ch" refForName="accent_2"/>
                <dgm:constr type="lMarg" for="ch" forName="text_2" refType="w" refFor="ch" refForName="accent_2" fact="1.8"/>
                <dgm:constr type="primFontSz" for="ch" ptType="node" op="equ" val="65"/>
              </dgm:constrLst>
            </dgm:if>
            <dgm:if name="Name7" axis="ch" ptType="node" func="cnt" op="equ" val="3">
              <dgm:constrLst>
                <dgm:constr type="h" for="ch" forName="cycle" refType="h"/>
                <dgm:constr type="w" for="ch" forName="cycle" refType="h" refFor="ch" refForName="cycle" fact="0.26"/>
                <dgm:constr type="l" for="ch" forName="cycle"/>
                <dgm:constr type="ctrY" for="ch" forName="cycle" refType="h" fact="0.5"/>
                <dgm:constr type="diam" for="ch" forName="cycle" refType="h" fact="1.344"/>
                <dgm:constr type="h" for="ch" forName="accent_1" refType="h" fact="0.25"/>
                <dgm:constr type="w" for="ch" forName="accent_1" refType="h" refFor="ch" refForName="accent_1" op="equ"/>
                <dgm:constr type="ctrY" for="ch" forName="accent_1" refType="h" fact="0.2"/>
                <dgm:constr type="ctrX" for="ch" forName="accent_1" refType="h" fact="0.1526"/>
                <dgm:constr type="l" for="ch" forName="text_1" refType="ctrX" refFor="ch" refForName="accent_1"/>
                <dgm:constr type="r" for="ch" forName="text_1" refType="w"/>
                <dgm:constr type="w" for="ch" forName="text_1" refType="h" refFor="ch" refForName="text_1" op="gte"/>
                <dgm:constr type="h" for="ch" forName="text_1" refType="h" refFor="ch" refForName="accent_1" fact="0.8"/>
                <dgm:constr type="ctrY" for="ch" forName="text_1" refType="ctrY" refFor="ch" refForName="accent_1"/>
                <dgm:constr type="lMarg" for="ch" forName="text_1" refType="w" refFor="ch" refForName="accent_1" fact="1.8"/>
                <dgm:constr type="h" for="ch" forName="accent_2" refType="h" fact="0.25"/>
                <dgm:constr type="w" for="ch" forName="accent_2" refType="h" refFor="ch" refForName="accent_2" op="equ"/>
                <dgm:constr type="ctrY" for="ch" forName="accent_2" refType="h" fact="0.5"/>
                <dgm:constr type="ctrX" for="ch" forName="accent_2" refType="h" fact="0.2253"/>
                <dgm:constr type="l" for="ch" forName="text_2" refType="ctrX" refFor="ch" refForName="accent_2"/>
                <dgm:constr type="r" for="ch" forName="text_2" refType="w"/>
                <dgm:constr type="w" for="ch" forName="text_2" refType="h" refFor="ch" refForName="text_2" op="gte"/>
                <dgm:constr type="h" for="ch" forName="text_2" refType="h" refFor="ch" refForName="accent_2" fact="0.8"/>
                <dgm:constr type="ctrY" for="ch" forName="text_2" refType="ctrY" refFor="ch" refForName="accent_2"/>
                <dgm:constr type="lMarg" for="ch" forName="text_2" refType="w" refFor="ch" refForName="accent_2" fact="1.8"/>
                <dgm:constr type="h" for="ch" forName="accent_3" refType="h" fact="0.25"/>
                <dgm:constr type="w" for="ch" forName="accent_3" refType="h" refFor="ch" refForName="accent_3" op="equ"/>
                <dgm:constr type="ctrY" for="ch" forName="accent_3" refType="h" fact="0.8"/>
                <dgm:constr type="ctrX" for="ch" forName="accent_3" refType="h" fact="0.1526"/>
                <dgm:constr type="l" for="ch" forName="text_3" refType="ctrX" refFor="ch" refForName="accent_3"/>
                <dgm:constr type="r" for="ch" forName="text_3" refType="w"/>
                <dgm:constr type="w" for="ch" forName="text_3" refType="h" refFor="ch" refForName="text_3" op="gte"/>
                <dgm:constr type="h" for="ch" forName="text_3" refType="h" refFor="ch" refForName="accent_3" fact="0.8"/>
                <dgm:constr type="ctrY" for="ch" forName="text_3" refType="ctrY" refFor="ch" refForName="accent_3"/>
                <dgm:constr type="lMarg" for="ch" forName="text_3" refType="w" refFor="ch" refForName="accent_3" fact="1.8"/>
                <dgm:constr type="primFontSz" for="ch" ptType="node" op="equ" val="65"/>
              </dgm:constrLst>
            </dgm:if>
            <dgm:if name="Name8" axis="ch" ptType="node" func="cnt" op="equ" val="4">
              <dgm:constrLst>
                <dgm:constr type="h" for="ch" forName="cycle" refType="h"/>
                <dgm:constr type="w" for="ch" forName="cycle" refType="h" refFor="ch" refForName="cycle" fact="0.26"/>
                <dgm:constr type="l" for="ch" forName="cycle"/>
                <dgm:constr type="ctrY" for="ch" forName="cycle" refType="h" fact="0.5"/>
                <dgm:constr type="diam" for="ch" forName="cycle" refType="h" fact="1.344"/>
                <dgm:constr type="h" for="ch" forName="accent_1" refType="h" fact="0.1923"/>
                <dgm:constr type="w" for="ch" forName="accent_1" refType="h" refFor="ch" refForName="accent_1" op="equ"/>
                <dgm:constr type="ctrY" for="ch" forName="accent_1" refType="h" fact="0.1538"/>
                <dgm:constr type="ctrX" for="ch" forName="accent_1" refType="h" fact="0.1268"/>
                <dgm:constr type="l" for="ch" forName="text_1" refType="ctrX" refFor="ch" refForName="accent_1"/>
                <dgm:constr type="r" for="ch" forName="text_1" refType="w"/>
                <dgm:constr type="w" for="ch" forName="text_1" refType="h" refFor="ch" refForName="text_1" op="gte"/>
                <dgm:constr type="h" for="ch" forName="text_1" refType="h" refFor="ch" refForName="accent_1" fact="0.8"/>
                <dgm:constr type="ctrY" for="ch" forName="text_1" refType="ctrY" refFor="ch" refForName="accent_1"/>
                <dgm:constr type="lMarg" for="ch" forName="text_1" refType="w" refFor="ch" refForName="accent_1" fact="1.8"/>
                <dgm:constr type="h" for="ch" forName="accent_2" refType="h" fact="0.1923"/>
                <dgm:constr type="w" for="ch" forName="accent_2" refType="h" refFor="ch" refForName="accent_2" op="equ"/>
                <dgm:constr type="ctrY" for="ch" forName="accent_2" refType="h" fact="0.3846"/>
                <dgm:constr type="ctrX" for="ch" forName="accent_2" refType="h" fact="0.215"/>
                <dgm:constr type="l" for="ch" forName="text_2" refType="ctrX" refFor="ch" refForName="accent_2"/>
                <dgm:constr type="r" for="ch" forName="text_2" refType="w"/>
                <dgm:constr type="w" for="ch" forName="text_2" refType="h" refFor="ch" refForName="text_2" op="gte"/>
                <dgm:constr type="h" for="ch" forName="text_2" refType="h" refFor="ch" refForName="accent_2" fact="0.8"/>
                <dgm:constr type="ctrY" for="ch" forName="text_2" refType="ctrY" refFor="ch" refForName="accent_2"/>
                <dgm:constr type="lMarg" for="ch" forName="text_2" refType="w" refFor="ch" refForName="accent_2" fact="1.8"/>
                <dgm:constr type="h" for="ch" forName="accent_3" refType="h" fact="0.1923"/>
                <dgm:constr type="w" for="ch" forName="accent_3" refType="h" refFor="ch" refForName="accent_3" op="equ"/>
                <dgm:constr type="ctrY" for="ch" forName="accent_3" refType="h" fact="0.6154"/>
                <dgm:constr type="ctrX" for="ch" forName="accent_3" refType="h" fact="0.215"/>
                <dgm:constr type="l" for="ch" forName="text_3" refType="ctrX" refFor="ch" refForName="accent_3"/>
                <dgm:constr type="r" for="ch" forName="text_3" refType="w"/>
                <dgm:constr type="w" for="ch" forName="text_3" refType="h" refFor="ch" refForName="text_3" op="gte"/>
                <dgm:constr type="h" for="ch" forName="text_3" refType="h" refFor="ch" refForName="accent_3" fact="0.8"/>
                <dgm:constr type="ctrY" for="ch" forName="text_3" refType="ctrY" refFor="ch" refForName="accent_3"/>
                <dgm:constr type="lMarg" for="ch" forName="text_3" refType="w" refFor="ch" refForName="accent_3" fact="1.8"/>
                <dgm:constr type="h" for="ch" forName="accent_4" refType="h" fact="0.1923"/>
                <dgm:constr type="w" for="ch" forName="accent_4" refType="h" refFor="ch" refForName="accent_4" op="equ"/>
                <dgm:constr type="ctrY" for="ch" forName="accent_4" refType="h" fact="0.8462"/>
                <dgm:constr type="ctrX" for="ch" forName="accent_4" refType="h" fact="0.1268"/>
                <dgm:constr type="l" for="ch" forName="text_4" refType="ctrX" refFor="ch" refForName="accent_4"/>
                <dgm:constr type="r" for="ch" forName="text_4" refType="w"/>
                <dgm:constr type="w" for="ch" forName="text_4" refType="h" refFor="ch" refForName="text_4" op="gte"/>
                <dgm:constr type="h" for="ch" forName="text_4" refType="h" refFor="ch" refForName="accent_4" fact="0.8"/>
                <dgm:constr type="ctrY" for="ch" forName="text_4" refType="ctrY" refFor="ch" refForName="accent_4"/>
                <dgm:constr type="lMarg" for="ch" forName="text_4" refType="w" refFor="ch" refForName="accent_4" fact="1.8"/>
                <dgm:constr type="primFontSz" for="ch" ptType="node" op="equ" val="65"/>
              </dgm:constrLst>
            </dgm:if>
            <dgm:if name="Name9" axis="ch" ptType="node" func="cnt" op="equ" val="5">
              <dgm:constrLst>
                <dgm:constr type="h" for="ch" forName="cycle" refType="h"/>
                <dgm:constr type="w" for="ch" forName="cycle" refType="h" refFor="ch" refForName="cycle" fact="0.26"/>
                <dgm:constr type="l" for="ch" forName="cycle"/>
                <dgm:constr type="ctrY" for="ch" forName="cycle" refType="h" fact="0.5"/>
                <dgm:constr type="diam" for="ch" forName="cycle" refType="h" fact="1.344"/>
                <dgm:constr type="h" for="ch" forName="accent_1" refType="h" fact="0.1563"/>
                <dgm:constr type="w" for="ch" forName="accent_1" refType="h" refFor="ch" refForName="accent_1" op="equ"/>
                <dgm:constr type="ctrY" for="ch" forName="accent_1" refType="h" fact="0.125"/>
                <dgm:constr type="ctrX" for="ch" forName="accent_1" refType="h" fact="0.1082"/>
                <dgm:constr type="l" for="ch" forName="text_1" refType="ctrX" refFor="ch" refForName="accent_1"/>
                <dgm:constr type="r" for="ch" forName="text_1" refType="w"/>
                <dgm:constr type="w" for="ch" forName="text_1" refType="h" refFor="ch" refForName="text_1" op="gte"/>
                <dgm:constr type="h" for="ch" forName="text_1" refType="h" refFor="ch" refForName="accent_1" fact="0.8"/>
                <dgm:constr type="ctrY" for="ch" forName="text_1" refType="ctrY" refFor="ch" refForName="accent_1"/>
                <dgm:constr type="lMarg" for="ch" forName="text_1" refType="w" refFor="ch" refForName="accent_1" fact="1.8"/>
                <dgm:constr type="h" for="ch" forName="accent_2" refType="h" fact="0.1563"/>
                <dgm:constr type="w" for="ch" forName="accent_2" refType="h" refFor="ch" refForName="accent_2" op="equ"/>
                <dgm:constr type="ctrY" for="ch" forName="accent_2" refType="h" fact="0.3125"/>
                <dgm:constr type="ctrX" for="ch" forName="accent_2" refType="h" fact="0.1978"/>
                <dgm:constr type="l" for="ch" forName="text_2" refType="ctrX" refFor="ch" refForName="accent_2"/>
                <dgm:constr type="r" for="ch" forName="text_2" refType="w"/>
                <dgm:constr type="w" for="ch" forName="text_2" refType="h" refFor="ch" refForName="text_2" op="gte"/>
                <dgm:constr type="h" for="ch" forName="text_2" refType="h" refFor="ch" refForName="accent_2" fact="0.8"/>
                <dgm:constr type="ctrY" for="ch" forName="text_2" refType="ctrY" refFor="ch" refForName="accent_2"/>
                <dgm:constr type="lMarg" for="ch" forName="text_2" refType="w" refFor="ch" refForName="accent_2" fact="1.8"/>
                <dgm:constr type="h" for="ch" forName="accent_3" refType="h" fact="0.1563"/>
                <dgm:constr type="w" for="ch" forName="accent_3" refType="h" refFor="ch" refForName="accent_3" op="equ"/>
                <dgm:constr type="ctrY" for="ch" forName="accent_3" refType="h" fact="0.5"/>
                <dgm:constr type="ctrX" for="ch" forName="accent_3" refType="h" fact="0.2253"/>
                <dgm:constr type="l" for="ch" forName="text_3" refType="ctrX" refFor="ch" refForName="accent_3"/>
                <dgm:constr type="r" for="ch" forName="text_3" refType="w"/>
                <dgm:constr type="w" for="ch" forName="text_3" refType="h" refFor="ch" refForName="text_3" op="gte"/>
                <dgm:constr type="h" for="ch" forName="text_3" refType="h" refFor="ch" refForName="accent_3" fact="0.8"/>
                <dgm:constr type="ctrY" for="ch" forName="text_3" refType="ctrY" refFor="ch" refForName="accent_3"/>
                <dgm:constr type="lMarg" for="ch" forName="text_3" refType="w" refFor="ch" refForName="accent_3" fact="1.8"/>
                <dgm:constr type="h" for="ch" forName="accent_4" refType="h" fact="0.1563"/>
                <dgm:constr type="w" for="ch" forName="accent_4" refType="h" refFor="ch" refForName="accent_4" op="equ"/>
                <dgm:constr type="ctrY" for="ch" forName="accent_4" refType="h" fact="0.6875"/>
                <dgm:constr type="ctrX" for="ch" forName="accent_4" refType="h" fact="0.1978"/>
                <dgm:constr type="l" for="ch" forName="text_4" refType="ctrX" refFor="ch" refForName="accent_4"/>
                <dgm:constr type="r" for="ch" forName="text_4" refType="w"/>
                <dgm:constr type="w" for="ch" forName="text_4" refType="h" refFor="ch" refForName="text_4" op="gte"/>
                <dgm:constr type="h" for="ch" forName="text_4" refType="h" refFor="ch" refForName="accent_4" fact="0.8"/>
                <dgm:constr type="ctrY" for="ch" forName="text_4" refType="ctrY" refFor="ch" refForName="accent_4"/>
                <dgm:constr type="lMarg" for="ch" forName="text_4" refType="w" refFor="ch" refForName="accent_4" fact="1.8"/>
                <dgm:constr type="h" for="ch" forName="accent_5" refType="h" fact="0.1563"/>
                <dgm:constr type="w" for="ch" forName="accent_5" refType="h" refFor="ch" refForName="accent_5" op="equ"/>
                <dgm:constr type="ctrY" for="ch" forName="accent_5" refType="h" fact="0.875"/>
                <dgm:constr type="ctrX" for="ch" forName="accent_5" refType="h" fact="0.1082"/>
                <dgm:constr type="l" for="ch" forName="text_5" refType="ctrX" refFor="ch" refForName="accent_5"/>
                <dgm:constr type="r" for="ch" forName="text_5" refType="w"/>
                <dgm:constr type="w" for="ch" forName="text_5" refType="h" refFor="ch" refForName="text_5" op="gte"/>
                <dgm:constr type="h" for="ch" forName="text_5" refType="h" refFor="ch" refForName="accent_5" fact="0.8"/>
                <dgm:constr type="ctrY" for="ch" forName="text_5" refType="ctrY" refFor="ch" refForName="accent_5"/>
                <dgm:constr type="lMarg" for="ch" forName="text_5" refType="w" refFor="ch" refForName="accent_5" fact="1.8"/>
                <dgm:constr type="primFontSz" for="ch" ptType="node" op="equ" val="65"/>
              </dgm:constrLst>
            </dgm:if>
            <dgm:if name="Name10" axis="ch" ptType="node" func="cnt" op="equ" val="6">
              <dgm:constrLst>
                <dgm:constr type="h" for="ch" forName="cycle" refType="h"/>
                <dgm:constr type="w" for="ch" forName="cycle" refType="h" refFor="ch" refForName="cycle" fact="0.26"/>
                <dgm:constr type="l" for="ch" forName="cycle"/>
                <dgm:constr type="ctrY" for="ch" forName="cycle" refType="h" fact="0.5"/>
                <dgm:constr type="diam" for="ch" forName="cycle" refType="h" fact="1.344"/>
                <dgm:constr type="h" for="ch" forName="accent_1" refType="h" fact="0.1316"/>
                <dgm:constr type="w" for="ch" forName="accent_1" refType="h" refFor="ch" refForName="accent_1" op="equ"/>
                <dgm:constr type="ctrY" for="ch" forName="accent_1" refType="h" fact="0.1053"/>
                <dgm:constr type="ctrX" for="ch" forName="accent_1" refType="h" fact="0.0943"/>
                <dgm:constr type="l" for="ch" forName="text_1" refType="ctrX" refFor="ch" refForName="accent_1"/>
                <dgm:constr type="r" for="ch" forName="text_1" refType="w"/>
                <dgm:constr type="w" for="ch" forName="text_1" refType="h" refFor="ch" refForName="text_1" op="gte"/>
                <dgm:constr type="h" for="ch" forName="text_1" refType="h" refFor="ch" refForName="accent_1" fact="0.8"/>
                <dgm:constr type="ctrY" for="ch" forName="text_1" refType="ctrY" refFor="ch" refForName="accent_1"/>
                <dgm:constr type="lMarg" for="ch" forName="text_1" refType="w" refFor="ch" refForName="accent_1" fact="1.8"/>
                <dgm:constr type="h" for="ch" forName="accent_2" refType="h" fact="0.1316"/>
                <dgm:constr type="w" for="ch" forName="accent_2" refType="h" refFor="ch" refForName="accent_2" op="equ"/>
                <dgm:constr type="ctrY" for="ch" forName="accent_2" refType="h" fact="0.2632"/>
                <dgm:constr type="ctrX" for="ch" forName="accent_2" refType="h" fact="0.1809"/>
                <dgm:constr type="l" for="ch" forName="text_2" refType="ctrX" refFor="ch" refForName="accent_2"/>
                <dgm:constr type="r" for="ch" forName="text_2" refType="w"/>
                <dgm:constr type="w" for="ch" forName="text_2" refType="h" refFor="ch" refForName="text_2" op="gte"/>
                <dgm:constr type="h" for="ch" forName="text_2" refType="h" refFor="ch" refForName="accent_2" fact="0.8"/>
                <dgm:constr type="ctrY" for="ch" forName="text_2" refType="ctrY" refFor="ch" refForName="accent_2"/>
                <dgm:constr type="lMarg" for="ch" forName="text_2" refType="w" refFor="ch" refForName="accent_2" fact="1.8"/>
                <dgm:constr type="h" for="ch" forName="accent_3" refType="h" fact="0.1316"/>
                <dgm:constr type="w" for="ch" forName="accent_3" refType="h" refFor="ch" refForName="accent_3" op="equ"/>
                <dgm:constr type="ctrY" for="ch" forName="accent_3" refType="h" fact="0.4211"/>
                <dgm:constr type="ctrX" for="ch" forName="accent_3" refType="h" fact="0.2205"/>
                <dgm:constr type="l" for="ch" forName="text_3" refType="ctrX" refFor="ch" refForName="accent_3"/>
                <dgm:constr type="r" for="ch" forName="text_3" refType="w"/>
                <dgm:constr type="w" for="ch" forName="text_3" refType="h" refFor="ch" refForName="text_3" op="gte"/>
                <dgm:constr type="h" for="ch" forName="text_3" refType="h" refFor="ch" refForName="accent_3" fact="0.8"/>
                <dgm:constr type="ctrY" for="ch" forName="text_3" refType="ctrY" refFor="ch" refForName="accent_3"/>
                <dgm:constr type="lMarg" for="ch" forName="text_3" refType="w" refFor="ch" refForName="accent_3" fact="1.8"/>
                <dgm:constr type="h" for="ch" forName="accent_4" refType="h" fact="0.1316"/>
                <dgm:constr type="w" for="ch" forName="accent_4" refType="h" refFor="ch" refForName="accent_4" op="equ"/>
                <dgm:constr type="ctrY" for="ch" forName="accent_4" refType="h" fact="0.5789"/>
                <dgm:constr type="ctrX" for="ch" forName="accent_4" refType="h" fact="0.2205"/>
                <dgm:constr type="l" for="ch" forName="text_4" refType="ctrX" refFor="ch" refForName="accent_4"/>
                <dgm:constr type="r" for="ch" forName="text_4" refType="w"/>
                <dgm:constr type="w" for="ch" forName="text_4" refType="h" refFor="ch" refForName="text_4" op="gte"/>
                <dgm:constr type="h" for="ch" forName="text_4" refType="h" refFor="ch" refForName="accent_4" fact="0.8"/>
                <dgm:constr type="ctrY" for="ch" forName="text_4" refType="ctrY" refFor="ch" refForName="accent_4"/>
                <dgm:constr type="lMarg" for="ch" forName="text_4" refType="w" refFor="ch" refForName="accent_4" fact="1.8"/>
                <dgm:constr type="h" for="ch" forName="accent_5" refType="h" fact="0.1316"/>
                <dgm:constr type="w" for="ch" forName="accent_5" refType="h" refFor="ch" refForName="accent_5" op="equ"/>
                <dgm:constr type="ctrY" for="ch" forName="accent_5" refType="h" fact="0.7368"/>
                <dgm:constr type="ctrX" for="ch" forName="accent_5" refType="h" fact="0.1809"/>
                <dgm:constr type="l" for="ch" forName="text_5" refType="ctrX" refFor="ch" refForName="accent_5"/>
                <dgm:constr type="r" for="ch" forName="text_5" refType="w"/>
                <dgm:constr type="w" for="ch" forName="text_5" refType="h" refFor="ch" refForName="text_5" op="gte"/>
                <dgm:constr type="h" for="ch" forName="text_5" refType="h" refFor="ch" refForName="accent_5" fact="0.8"/>
                <dgm:constr type="ctrY" for="ch" forName="text_5" refType="ctrY" refFor="ch" refForName="accent_5"/>
                <dgm:constr type="lMarg" for="ch" forName="text_5" refType="w" refFor="ch" refForName="accent_5" fact="1.8"/>
                <dgm:constr type="h" for="ch" forName="accent_6" refType="h" fact="0.1316"/>
                <dgm:constr type="w" for="ch" forName="accent_6" refType="h" refFor="ch" refForName="accent_6" op="equ"/>
                <dgm:constr type="ctrY" for="ch" forName="accent_6" refType="h" fact="0.8947"/>
                <dgm:constr type="ctrX" for="ch" forName="accent_6" refType="h" fact="0.0943"/>
                <dgm:constr type="l" for="ch" forName="text_6" refType="ctrX" refFor="ch" refForName="accent_6"/>
                <dgm:constr type="r" for="ch" forName="text_6" refType="w"/>
                <dgm:constr type="w" for="ch" forName="text_6" refType="h" refFor="ch" refForName="text_6" op="gte"/>
                <dgm:constr type="h" for="ch" forName="text_6" refType="h" refFor="ch" refForName="accent_6" fact="0.8"/>
                <dgm:constr type="ctrY" for="ch" forName="text_6" refType="ctrY" refFor="ch" refForName="accent_6"/>
                <dgm:constr type="lMarg" for="ch" forName="text_6" refType="w" refFor="ch" refForName="accent_6" fact="1.8"/>
                <dgm:constr type="primFontSz" for="ch" ptType="node" op="equ" val="65"/>
              </dgm:constrLst>
            </dgm:if>
            <dgm:else name="Name11">
              <dgm:constrLst>
                <dgm:constr type="h" for="ch" forName="cycle" refType="h"/>
                <dgm:constr type="w" for="ch" forName="cycle" refType="h" refFor="ch" refForName="cycle" fact="0.26"/>
                <dgm:constr type="l" for="ch" forName="cycle"/>
                <dgm:constr type="ctrY" for="ch" forName="cycle" refType="h" fact="0.5"/>
                <dgm:constr type="diam" for="ch" forName="cycle" refType="h" fact="1.344"/>
                <dgm:constr type="h" for="ch" forName="accent_1" refType="h" fact="0.1136"/>
                <dgm:constr type="w" for="ch" forName="accent_1" refType="h" refFor="ch" refForName="accent_1" op="equ"/>
                <dgm:constr type="ctrY" for="ch" forName="accent_1" refType="h" fact="0.0909"/>
                <dgm:constr type="ctrX" for="ch" forName="accent_1" refType="h" fact="0.0835"/>
                <dgm:constr type="l" for="ch" forName="text_1" refType="ctrX" refFor="ch" refForName="accent_1"/>
                <dgm:constr type="r" for="ch" forName="text_1" refType="w"/>
                <dgm:constr type="w" for="ch" forName="text_1" refType="h" refFor="ch" refForName="text_1" op="gte"/>
                <dgm:constr type="h" for="ch" forName="text_1" refType="h" refFor="ch" refForName="accent_1" fact="0.8"/>
                <dgm:constr type="ctrY" for="ch" forName="text_1" refType="ctrY" refFor="ch" refForName="accent_1"/>
                <dgm:constr type="lMarg" for="ch" forName="text_1" refType="w" refFor="ch" refForName="accent_1" fact="1.8"/>
                <dgm:constr type="h" for="ch" forName="accent_2" refType="h" fact="0.1136"/>
                <dgm:constr type="w" for="ch" forName="accent_2" refType="h" refFor="ch" refForName="accent_2" op="equ"/>
                <dgm:constr type="ctrY" for="ch" forName="accent_2" refType="h" fact="0.2273"/>
                <dgm:constr type="ctrX" for="ch" forName="accent_2" refType="h" fact="0.1658"/>
                <dgm:constr type="l" for="ch" forName="text_2" refType="ctrX" refFor="ch" refForName="accent_2"/>
                <dgm:constr type="r" for="ch" forName="text_2" refType="w"/>
                <dgm:constr type="w" for="ch" forName="text_2" refType="h" refFor="ch" refForName="text_2" op="gte"/>
                <dgm:constr type="h" for="ch" forName="text_2" refType="h" refFor="ch" refForName="accent_2" fact="0.8"/>
                <dgm:constr type="ctrY" for="ch" forName="text_2" refType="ctrY" refFor="ch" refForName="accent_2"/>
                <dgm:constr type="lMarg" for="ch" forName="text_2" refType="w" refFor="ch" refForName="accent_2" fact="1.8"/>
                <dgm:constr type="h" for="ch" forName="accent_3" refType="h" fact="0.1136"/>
                <dgm:constr type="w" for="ch" forName="accent_3" refType="h" refFor="ch" refForName="accent_3" op="equ"/>
                <dgm:constr type="ctrY" for="ch" forName="accent_3" refType="h" fact="0.3636"/>
                <dgm:constr type="ctrX" for="ch" forName="accent_3" refType="h" fact="0.2109"/>
                <dgm:constr type="l" for="ch" forName="text_3" refType="ctrX" refFor="ch" refForName="accent_3"/>
                <dgm:constr type="r" for="ch" forName="text_3" refType="w"/>
                <dgm:constr type="w" for="ch" forName="text_3" refType="h" refFor="ch" refForName="text_3" op="gte"/>
                <dgm:constr type="h" for="ch" forName="text_3" refType="h" refFor="ch" refForName="accent_3" fact="0.8"/>
                <dgm:constr type="ctrY" for="ch" forName="text_3" refType="ctrY" refFor="ch" refForName="accent_3"/>
                <dgm:constr type="lMarg" for="ch" forName="text_3" refType="w" refFor="ch" refForName="accent_3" fact="1.8"/>
                <dgm:constr type="h" for="ch" forName="accent_4" refType="h" fact="0.1136"/>
                <dgm:constr type="w" for="ch" forName="accent_4" refType="h" refFor="ch" refForName="accent_4" op="equ"/>
                <dgm:constr type="ctrY" for="ch" forName="accent_4" refType="h" fact="0.5"/>
                <dgm:constr type="ctrX" for="ch" forName="accent_4" refType="h" fact="0.2253"/>
                <dgm:constr type="l" for="ch" forName="text_4" refType="ctrX" refFor="ch" refForName="accent_4"/>
                <dgm:constr type="r" for="ch" forName="text_4" refType="w"/>
                <dgm:constr type="w" for="ch" forName="text_4" refType="h" refFor="ch" refForName="text_4" op="gte"/>
                <dgm:constr type="h" for="ch" forName="text_4" refType="h" refFor="ch" refForName="accent_4" fact="0.8"/>
                <dgm:constr type="ctrY" for="ch" forName="text_4" refType="ctrY" refFor="ch" refForName="accent_4"/>
                <dgm:constr type="lMarg" for="ch" forName="text_4" refType="w" refFor="ch" refForName="accent_4" fact="1.8"/>
                <dgm:constr type="h" for="ch" forName="accent_5" refType="h" fact="0.1136"/>
                <dgm:constr type="w" for="ch" forName="accent_5" refType="h" refFor="ch" refForName="accent_5" op="equ"/>
                <dgm:constr type="ctrY" for="ch" forName="accent_5" refType="h" fact="0.6364"/>
                <dgm:constr type="ctrX" for="ch" forName="accent_5" refType="h" fact="0.2109"/>
                <dgm:constr type="l" for="ch" forName="text_5" refType="ctrX" refFor="ch" refForName="accent_5"/>
                <dgm:constr type="r" for="ch" forName="text_5" refType="w"/>
                <dgm:constr type="w" for="ch" forName="text_5" refType="h" refFor="ch" refForName="text_5" op="gte"/>
                <dgm:constr type="h" for="ch" forName="text_5" refType="h" refFor="ch" refForName="accent_5" fact="0.8"/>
                <dgm:constr type="ctrY" for="ch" forName="text_5" refType="ctrY" refFor="ch" refForName="accent_5"/>
                <dgm:constr type="lMarg" for="ch" forName="text_5" refType="w" refFor="ch" refForName="accent_5" fact="1.8"/>
                <dgm:constr type="h" for="ch" forName="accent_6" refType="h" fact="0.1136"/>
                <dgm:constr type="w" for="ch" forName="accent_6" refType="h" refFor="ch" refForName="accent_6" op="equ"/>
                <dgm:constr type="ctrY" for="ch" forName="accent_6" refType="h" fact="0.7727"/>
                <dgm:constr type="ctrX" for="ch" forName="accent_6" refType="h" fact="0.1658"/>
                <dgm:constr type="l" for="ch" forName="text_6" refType="ctrX" refFor="ch" refForName="accent_6"/>
                <dgm:constr type="r" for="ch" forName="text_6" refType="w"/>
                <dgm:constr type="w" for="ch" forName="text_6" refType="h" refFor="ch" refForName="text_6" op="gte"/>
                <dgm:constr type="h" for="ch" forName="text_6" refType="h" refFor="ch" refForName="accent_6" fact="0.8"/>
                <dgm:constr type="ctrY" for="ch" forName="text_6" refType="ctrY" refFor="ch" refForName="accent_6"/>
                <dgm:constr type="lMarg" for="ch" forName="text_6" refType="w" refFor="ch" refForName="accent_6" fact="1.8"/>
                <dgm:constr type="h" for="ch" forName="accent_7" refType="h" fact="0.1136"/>
                <dgm:constr type="w" for="ch" forName="accent_7" refType="h" refFor="ch" refForName="accent_7" op="equ"/>
                <dgm:constr type="ctrY" for="ch" forName="accent_7" refType="h" fact="0.9091"/>
                <dgm:constr type="ctrX" for="ch" forName="accent_7" refType="h" fact="0.0835"/>
                <dgm:constr type="l" for="ch" forName="text_7" refType="ctrX" refFor="ch" refForName="accent_7"/>
                <dgm:constr type="r" for="ch" forName="text_7" refType="w"/>
                <dgm:constr type="w" for="ch" forName="text_7" refType="h" refFor="ch" refForName="text_7" op="gte"/>
                <dgm:constr type="h" for="ch" forName="text_7" refType="h" refFor="ch" refForName="accent_7" fact="0.8"/>
                <dgm:constr type="ctrY" for="ch" forName="text_7" refType="ctrY" refFor="ch" refForName="accent_7"/>
                <dgm:constr type="lMarg" for="ch" forName="text_7" refType="w" refFor="ch" refForName="accent_7" fact="1.8"/>
                <dgm:constr type="primFontSz" for="ch" ptType="node" op="equ" val="65"/>
              </dgm:constrLst>
            </dgm:else>
          </dgm:choose>
        </dgm:if>
        <dgm:else name="Name12">
          <dgm:choose name="Name13">
            <dgm:if name="Name14" axis="ch" ptType="node" func="cnt" op="equ" val="1">
              <dgm:constrLst>
                <dgm:constr type="h" for="ch" forName="cycle" refType="h"/>
                <dgm:constr type="w" for="ch" forName="cycle" refType="h" refFor="ch" refForName="cycle" fact="0.26"/>
                <dgm:constr type="r" for="ch" forName="cycle" refType="w"/>
                <dgm:constr type="ctrY" for="ch" forName="cycle" refType="h" fact="0.5"/>
                <dgm:constr type="diam" for="ch" forName="cycle" refType="h" fact="1.344"/>
                <dgm:constr type="h" for="ch" forName="accent_1" refType="h" fact="0.625"/>
                <dgm:constr type="w" for="ch" forName="accent_1" refType="h" refFor="ch" refForName="accent_1" op="equ"/>
                <dgm:constr type="ctrY" for="ch" forName="accent_1" refType="h" fact="0.5"/>
                <dgm:constr type="ctrX" for="ch" forName="accent_1" refType="w"/>
                <dgm:constr type="ctrXOff" for="ch" forName="accent_1" refType="h" fact="-0.2253"/>
                <dgm:constr type="r" for="ch" forName="text_1" refType="ctrX" refFor="ch" refForName="accent_1"/>
                <dgm:constr type="rOff" for="ch" forName="text_1" refType="ctrXOff" refFor="ch" refForName="accent_1"/>
                <dgm:constr type="l" for="ch" forName="text_1"/>
                <dgm:constr type="w" for="ch" forName="text_1" refType="h" refFor="ch" refForName="text_1" op="gte"/>
                <dgm:constr type="h" for="ch" forName="text_1" refType="h" refFor="ch" refForName="accent_1" fact="0.8"/>
                <dgm:constr type="ctrY" for="ch" forName="text_1" refType="ctrY" refFor="ch" refForName="accent_1"/>
                <dgm:constr type="rMarg" for="ch" forName="text_1" refType="w" refFor="ch" refForName="accent_1" fact="1.8"/>
                <dgm:constr type="primFontSz" for="ch" ptType="node" op="equ" val="65"/>
              </dgm:constrLst>
            </dgm:if>
            <dgm:if name="Name15" axis="ch" ptType="node" func="cnt" op="equ" val="2">
              <dgm:constrLst>
                <dgm:constr type="h" for="ch" forName="cycle" refType="h"/>
                <dgm:constr type="w" for="ch" forName="cycle" refType="h" refFor="ch" refForName="cycle" fact="0.26"/>
                <dgm:constr type="r" for="ch" forName="cycle" refType="w"/>
                <dgm:constr type="ctrY" for="ch" forName="cycle" refType="h" fact="0.5"/>
                <dgm:constr type="diam" for="ch" forName="cycle" refType="h" fact="1.344"/>
                <dgm:constr type="h" for="ch" forName="accent_1" refType="h" fact="0.3571"/>
                <dgm:constr type="w" for="ch" forName="accent_1" refType="h" refFor="ch" refForName="accent_1" op="equ"/>
                <dgm:constr type="ctrY" for="ch" forName="accent_1" refType="h" fact="0.2857"/>
                <dgm:constr type="ctrX" for="ch" forName="accent_1" refType="w"/>
                <dgm:constr type="ctrXOff" for="ch" forName="accent_1" refType="h" fact="-0.1891"/>
                <dgm:constr type="r" for="ch" forName="text_1" refType="ctrX" refFor="ch" refForName="accent_1"/>
                <dgm:constr type="rOff" for="ch" forName="text_1" refType="ctrXOff" refFor="ch" refForName="accent_1"/>
                <dgm:constr type="l" for="ch" forName="text_1"/>
                <dgm:constr type="w" for="ch" forName="text_1" refType="h" refFor="ch" refForName="text_1" op="gte"/>
                <dgm:constr type="h" for="ch" forName="text_1" refType="h" refFor="ch" refForName="accent_1" fact="0.8"/>
                <dgm:constr type="ctrY" for="ch" forName="text_1" refType="ctrY" refFor="ch" refForName="accent_1"/>
                <dgm:constr type="rMarg" for="ch" forName="text_1" refType="w" refFor="ch" refForName="accent_1" fact="1.8"/>
                <dgm:constr type="h" for="ch" forName="accent_2" refType="h" fact="0.3571"/>
                <dgm:constr type="w" for="ch" forName="accent_2" refType="h" refFor="ch" refForName="accent_2" op="equ"/>
                <dgm:constr type="ctrY" for="ch" forName="accent_2" refType="h" fact="0.7143"/>
                <dgm:constr type="ctrX" for="ch" forName="accent_2" refType="w"/>
                <dgm:constr type="ctrXOff" for="ch" forName="accent_2" refType="h" fact="-0.1891"/>
                <dgm:constr type="r" for="ch" forName="text_2" refType="ctrX" refFor="ch" refForName="accent_2"/>
                <dgm:constr type="rOff" for="ch" forName="text_2" refType="ctrXOff" refFor="ch" refForName="accent_2"/>
                <dgm:constr type="l" for="ch" forName="text_2"/>
                <dgm:constr type="w" for="ch" forName="text_2" refType="h" refFor="ch" refForName="text_2" op="gte"/>
                <dgm:constr type="h" for="ch" forName="text_2" refType="h" refFor="ch" refForName="accent_2" fact="0.8"/>
                <dgm:constr type="ctrY" for="ch" forName="text_2" refType="ctrY" refFor="ch" refForName="accent_2"/>
                <dgm:constr type="rMarg" for="ch" forName="text_2" refType="w" refFor="ch" refForName="accent_2" fact="1.8"/>
                <dgm:constr type="primFontSz" for="ch" ptType="node" op="equ" val="65"/>
              </dgm:constrLst>
            </dgm:if>
            <dgm:if name="Name16" axis="ch" ptType="node" func="cnt" op="equ" val="3">
              <dgm:constrLst>
                <dgm:constr type="h" for="ch" forName="cycle" refType="h"/>
                <dgm:constr type="w" for="ch" forName="cycle" refType="h" refFor="ch" refForName="cycle" fact="0.26"/>
                <dgm:constr type="r" for="ch" forName="cycle" refType="w"/>
                <dgm:constr type="ctrY" for="ch" forName="cycle" refType="h" fact="0.5"/>
                <dgm:constr type="diam" for="ch" forName="cycle" refType="h" fact="1.344"/>
                <dgm:constr type="h" for="ch" forName="accent_1" refType="h" fact="0.25"/>
                <dgm:constr type="w" for="ch" forName="accent_1" refType="h" refFor="ch" refForName="accent_1" op="equ"/>
                <dgm:constr type="ctrY" for="ch" forName="accent_1" refType="h" fact="0.2"/>
                <dgm:constr type="ctrX" for="ch" forName="accent_1" refType="w"/>
                <dgm:constr type="ctrXOff" for="ch" forName="accent_1" refType="h" fact="-0.1526"/>
                <dgm:constr type="r" for="ch" forName="text_1" refType="ctrX" refFor="ch" refForName="accent_1"/>
                <dgm:constr type="rOff" for="ch" forName="text_1" refType="ctrXOff" refFor="ch" refForName="accent_1"/>
                <dgm:constr type="l" for="ch" forName="text_1"/>
                <dgm:constr type="w" for="ch" forName="text_1" refType="h" refFor="ch" refForName="text_1" op="gte"/>
                <dgm:constr type="h" for="ch" forName="text_1" refType="h" refFor="ch" refForName="accent_1" fact="0.8"/>
                <dgm:constr type="ctrY" for="ch" forName="text_1" refType="ctrY" refFor="ch" refForName="accent_1"/>
                <dgm:constr type="rMarg" for="ch" forName="text_1" refType="w" refFor="ch" refForName="accent_1" fact="1.8"/>
                <dgm:constr type="h" for="ch" forName="accent_2" refType="h" fact="0.25"/>
                <dgm:constr type="w" for="ch" forName="accent_2" refType="h" refFor="ch" refForName="accent_2" op="equ"/>
                <dgm:constr type="ctrY" for="ch" forName="accent_2" refType="h" fact="0.5"/>
                <dgm:constr type="ctrX" for="ch" forName="accent_2" refType="w"/>
                <dgm:constr type="ctrXOff" for="ch" forName="accent_2" refType="h" fact="-0.2253"/>
                <dgm:constr type="r" for="ch" forName="text_2" refType="ctrX" refFor="ch" refForName="accent_2"/>
                <dgm:constr type="rOff" for="ch" forName="text_2" refType="ctrXOff" refFor="ch" refForName="accent_2"/>
                <dgm:constr type="l" for="ch" forName="text_2"/>
                <dgm:constr type="w" for="ch" forName="text_2" refType="h" refFor="ch" refForName="text_2" op="gte"/>
                <dgm:constr type="h" for="ch" forName="text_2" refType="h" refFor="ch" refForName="accent_2" fact="0.8"/>
                <dgm:constr type="ctrY" for="ch" forName="text_2" refType="ctrY" refFor="ch" refForName="accent_2"/>
                <dgm:constr type="rMarg" for="ch" forName="text_2" refType="w" refFor="ch" refForName="accent_2" fact="1.8"/>
                <dgm:constr type="h" for="ch" forName="accent_3" refType="h" fact="0.25"/>
                <dgm:constr type="w" for="ch" forName="accent_3" refType="h" refFor="ch" refForName="accent_3" op="equ"/>
                <dgm:constr type="ctrY" for="ch" forName="accent_3" refType="h" fact="0.8"/>
                <dgm:constr type="ctrX" for="ch" forName="accent_3" refType="w"/>
                <dgm:constr type="ctrXOff" for="ch" forName="accent_3" refType="h" fact="-0.1526"/>
                <dgm:constr type="r" for="ch" forName="text_3" refType="ctrX" refFor="ch" refForName="accent_3"/>
                <dgm:constr type="rOff" for="ch" forName="text_3" refType="ctrXOff" refFor="ch" refForName="accent_3"/>
                <dgm:constr type="l" for="ch" forName="text_3"/>
                <dgm:constr type="w" for="ch" forName="text_3" refType="h" refFor="ch" refForName="text_3" op="gte"/>
                <dgm:constr type="h" for="ch" forName="text_3" refType="h" refFor="ch" refForName="accent_3" fact="0.8"/>
                <dgm:constr type="ctrY" for="ch" forName="text_3" refType="ctrY" refFor="ch" refForName="accent_3"/>
                <dgm:constr type="rMarg" for="ch" forName="text_3" refType="w" refFor="ch" refForName="accent_3" fact="1.8"/>
                <dgm:constr type="primFontSz" for="ch" ptType="node" op="equ" val="65"/>
              </dgm:constrLst>
            </dgm:if>
            <dgm:if name="Name17" axis="ch" ptType="node" func="cnt" op="equ" val="4">
              <dgm:constrLst>
                <dgm:constr type="h" for="ch" forName="cycle" refType="h"/>
                <dgm:constr type="w" for="ch" forName="cycle" refType="h" refFor="ch" refForName="cycle" fact="0.26"/>
                <dgm:constr type="r" for="ch" forName="cycle" refType="w"/>
                <dgm:constr type="ctrY" for="ch" forName="cycle" refType="h" fact="0.5"/>
                <dgm:constr type="diam" for="ch" forName="cycle" refType="h" fact="1.344"/>
                <dgm:constr type="h" for="ch" forName="accent_1" refType="h" fact="0.1923"/>
                <dgm:constr type="w" for="ch" forName="accent_1" refType="h" refFor="ch" refForName="accent_1" op="equ"/>
                <dgm:constr type="ctrY" for="ch" forName="accent_1" refType="h" fact="0.1538"/>
                <dgm:constr type="ctrX" for="ch" forName="accent_1" refType="w"/>
                <dgm:constr type="ctrXOff" for="ch" forName="accent_1" refType="h" fact="-0.1268"/>
                <dgm:constr type="r" for="ch" forName="text_1" refType="ctrX" refFor="ch" refForName="accent_1"/>
                <dgm:constr type="rOff" for="ch" forName="text_1" refType="ctrXOff" refFor="ch" refForName="accent_1"/>
                <dgm:constr type="l" for="ch" forName="text_1"/>
                <dgm:constr type="w" for="ch" forName="text_1" refType="h" refFor="ch" refForName="text_1" op="gte"/>
                <dgm:constr type="h" for="ch" forName="text_1" refType="h" refFor="ch" refForName="accent_1" fact="0.8"/>
                <dgm:constr type="ctrY" for="ch" forName="text_1" refType="ctrY" refFor="ch" refForName="accent_1"/>
                <dgm:constr type="rMarg" for="ch" forName="text_1" refType="w" refFor="ch" refForName="accent_1" fact="1.8"/>
                <dgm:constr type="h" for="ch" forName="accent_2" refType="h" fact="0.1923"/>
                <dgm:constr type="w" for="ch" forName="accent_2" refType="h" refFor="ch" refForName="accent_2" op="equ"/>
                <dgm:constr type="ctrY" for="ch" forName="accent_2" refType="h" fact="0.3846"/>
                <dgm:constr type="ctrX" for="ch" forName="accent_2" refType="w"/>
                <dgm:constr type="ctrXOff" for="ch" forName="accent_2" refType="h" fact="-0.215"/>
                <dgm:constr type="r" for="ch" forName="text_2" refType="ctrX" refFor="ch" refForName="accent_2"/>
                <dgm:constr type="rOff" for="ch" forName="text_2" refType="ctrXOff" refFor="ch" refForName="accent_2"/>
                <dgm:constr type="l" for="ch" forName="text_2"/>
                <dgm:constr type="w" for="ch" forName="text_2" refType="h" refFor="ch" refForName="text_2" op="gte"/>
                <dgm:constr type="h" for="ch" forName="text_2" refType="h" refFor="ch" refForName="accent_2" fact="0.8"/>
                <dgm:constr type="ctrY" for="ch" forName="text_2" refType="ctrY" refFor="ch" refForName="accent_2"/>
                <dgm:constr type="rMarg" for="ch" forName="text_2" refType="w" refFor="ch" refForName="accent_2" fact="1.8"/>
                <dgm:constr type="h" for="ch" forName="accent_3" refType="h" fact="0.1923"/>
                <dgm:constr type="w" for="ch" forName="accent_3" refType="h" refFor="ch" refForName="accent_3" op="equ"/>
                <dgm:constr type="ctrY" for="ch" forName="accent_3" refType="h" fact="0.6154"/>
                <dgm:constr type="ctrX" for="ch" forName="accent_3" refType="w"/>
                <dgm:constr type="ctrXOff" for="ch" forName="accent_3" refType="h" fact="-0.215"/>
                <dgm:constr type="r" for="ch" forName="text_3" refType="ctrX" refFor="ch" refForName="accent_3"/>
                <dgm:constr type="rOff" for="ch" forName="text_3" refType="ctrXOff" refFor="ch" refForName="accent_3"/>
                <dgm:constr type="l" for="ch" forName="text_3"/>
                <dgm:constr type="w" for="ch" forName="text_3" refType="h" refFor="ch" refForName="text_3" op="gte"/>
                <dgm:constr type="h" for="ch" forName="text_3" refType="h" refFor="ch" refForName="accent_3" fact="0.8"/>
                <dgm:constr type="ctrY" for="ch" forName="text_3" refType="ctrY" refFor="ch" refForName="accent_3"/>
                <dgm:constr type="rMarg" for="ch" forName="text_3" refType="w" refFor="ch" refForName="accent_3" fact="1.8"/>
                <dgm:constr type="h" for="ch" forName="accent_4" refType="h" fact="0.1923"/>
                <dgm:constr type="w" for="ch" forName="accent_4" refType="h" refFor="ch" refForName="accent_4" op="equ"/>
                <dgm:constr type="ctrY" for="ch" forName="accent_4" refType="h" fact="0.8462"/>
                <dgm:constr type="ctrX" for="ch" forName="accent_4" refType="w"/>
                <dgm:constr type="ctrXOff" for="ch" forName="accent_4" refType="h" fact="-0.1268"/>
                <dgm:constr type="r" for="ch" forName="text_4" refType="ctrX" refFor="ch" refForName="accent_4"/>
                <dgm:constr type="rOff" for="ch" forName="text_4" refType="ctrXOff" refFor="ch" refForName="accent_4"/>
                <dgm:constr type="l" for="ch" forName="text_4"/>
                <dgm:constr type="w" for="ch" forName="text_4" refType="h" refFor="ch" refForName="text_4" op="gte"/>
                <dgm:constr type="h" for="ch" forName="text_4" refType="h" refFor="ch" refForName="accent_4" fact="0.8"/>
                <dgm:constr type="ctrY" for="ch" forName="text_4" refType="ctrY" refFor="ch" refForName="accent_4"/>
                <dgm:constr type="rMarg" for="ch" forName="text_4" refType="w" refFor="ch" refForName="accent_4" fact="1.8"/>
                <dgm:constr type="primFontSz" for="ch" ptType="node" op="equ" val="65"/>
              </dgm:constrLst>
            </dgm:if>
            <dgm:if name="Name18" axis="ch" ptType="node" func="cnt" op="equ" val="5">
              <dgm:constrLst>
                <dgm:constr type="h" for="ch" forName="cycle" refType="h"/>
                <dgm:constr type="w" for="ch" forName="cycle" refType="h" refFor="ch" refForName="cycle" fact="0.26"/>
                <dgm:constr type="r" for="ch" forName="cycle" refType="w"/>
                <dgm:constr type="ctrY" for="ch" forName="cycle" refType="h" fact="0.5"/>
                <dgm:constr type="diam" for="ch" forName="cycle" refType="h" fact="1.344"/>
                <dgm:constr type="h" for="ch" forName="accent_1" refType="h" fact="0.1563"/>
                <dgm:constr type="w" for="ch" forName="accent_1" refType="h" refFor="ch" refForName="accent_1" op="equ"/>
                <dgm:constr type="ctrY" for="ch" forName="accent_1" refType="h" fact="0.125"/>
                <dgm:constr type="ctrX" for="ch" forName="accent_1" refType="w"/>
                <dgm:constr type="ctrXOff" for="ch" forName="accent_1" refType="h" fact="-0.1082"/>
                <dgm:constr type="r" for="ch" forName="text_1" refType="ctrX" refFor="ch" refForName="accent_1"/>
                <dgm:constr type="rOff" for="ch" forName="text_1" refType="ctrXOff" refFor="ch" refForName="accent_1"/>
                <dgm:constr type="l" for="ch" forName="text_1"/>
                <dgm:constr type="w" for="ch" forName="text_1" refType="h" refFor="ch" refForName="text_1" op="gte"/>
                <dgm:constr type="h" for="ch" forName="text_1" refType="h" refFor="ch" refForName="accent_1" fact="0.8"/>
                <dgm:constr type="ctrY" for="ch" forName="text_1" refType="ctrY" refFor="ch" refForName="accent_1"/>
                <dgm:constr type="rMarg" for="ch" forName="text_1" refType="w" refFor="ch" refForName="accent_1" fact="1.8"/>
                <dgm:constr type="h" for="ch" forName="accent_2" refType="h" fact="0.1563"/>
                <dgm:constr type="w" for="ch" forName="accent_2" refType="h" refFor="ch" refForName="accent_2" op="equ"/>
                <dgm:constr type="ctrY" for="ch" forName="accent_2" refType="h" fact="0.3125"/>
                <dgm:constr type="ctrX" for="ch" forName="accent_2" refType="w"/>
                <dgm:constr type="ctrXOff" for="ch" forName="accent_2" refType="h" fact="-0.1978"/>
                <dgm:constr type="r" for="ch" forName="text_2" refType="ctrX" refFor="ch" refForName="accent_2"/>
                <dgm:constr type="rOff" for="ch" forName="text_2" refType="ctrXOff" refFor="ch" refForName="accent_2"/>
                <dgm:constr type="l" for="ch" forName="text_2"/>
                <dgm:constr type="w" for="ch" forName="text_2" refType="h" refFor="ch" refForName="text_2" op="gte"/>
                <dgm:constr type="h" for="ch" forName="text_2" refType="h" refFor="ch" refForName="accent_2" fact="0.8"/>
                <dgm:constr type="ctrY" for="ch" forName="text_2" refType="ctrY" refFor="ch" refForName="accent_2"/>
                <dgm:constr type="rMarg" for="ch" forName="text_2" refType="w" refFor="ch" refForName="accent_2" fact="1.8"/>
                <dgm:constr type="h" for="ch" forName="accent_3" refType="h" fact="0.1563"/>
                <dgm:constr type="w" for="ch" forName="accent_3" refType="h" refFor="ch" refForName="accent_3" op="equ"/>
                <dgm:constr type="ctrY" for="ch" forName="accent_3" refType="h" fact="0.5"/>
                <dgm:constr type="ctrX" for="ch" forName="accent_3" refType="w"/>
                <dgm:constr type="ctrXOff" for="ch" forName="accent_3" refType="h" fact="-0.2253"/>
                <dgm:constr type="r" for="ch" forName="text_3" refType="ctrX" refFor="ch" refForName="accent_3"/>
                <dgm:constr type="rOff" for="ch" forName="text_3" refType="ctrXOff" refFor="ch" refForName="accent_3"/>
                <dgm:constr type="l" for="ch" forName="text_3"/>
                <dgm:constr type="w" for="ch" forName="text_3" refType="h" refFor="ch" refForName="text_3" op="gte"/>
                <dgm:constr type="h" for="ch" forName="text_3" refType="h" refFor="ch" refForName="accent_3" fact="0.8"/>
                <dgm:constr type="ctrY" for="ch" forName="text_3" refType="ctrY" refFor="ch" refForName="accent_3"/>
                <dgm:constr type="rMarg" for="ch" forName="text_3" refType="w" refFor="ch" refForName="accent_3" fact="1.8"/>
                <dgm:constr type="h" for="ch" forName="accent_4" refType="h" fact="0.1563"/>
                <dgm:constr type="w" for="ch" forName="accent_4" refType="h" refFor="ch" refForName="accent_4" op="equ"/>
                <dgm:constr type="ctrY" for="ch" forName="accent_4" refType="h" fact="0.6875"/>
                <dgm:constr type="ctrX" for="ch" forName="accent_4" refType="w"/>
                <dgm:constr type="ctrXOff" for="ch" forName="accent_4" refType="h" fact="-0.1978"/>
                <dgm:constr type="r" for="ch" forName="text_4" refType="ctrX" refFor="ch" refForName="accent_4"/>
                <dgm:constr type="rOff" for="ch" forName="text_4" refType="ctrXOff" refFor="ch" refForName="accent_4"/>
                <dgm:constr type="l" for="ch" forName="text_4"/>
                <dgm:constr type="w" for="ch" forName="text_4" refType="h" refFor="ch" refForName="text_4" op="gte"/>
                <dgm:constr type="h" for="ch" forName="text_4" refType="h" refFor="ch" refForName="accent_4" fact="0.8"/>
                <dgm:constr type="ctrY" for="ch" forName="text_4" refType="ctrY" refFor="ch" refForName="accent_4"/>
                <dgm:constr type="rMarg" for="ch" forName="text_4" refType="w" refFor="ch" refForName="accent_4" fact="1.8"/>
                <dgm:constr type="h" for="ch" forName="accent_5" refType="h" fact="0.1563"/>
                <dgm:constr type="w" for="ch" forName="accent_5" refType="h" refFor="ch" refForName="accent_5" op="equ"/>
                <dgm:constr type="ctrY" for="ch" forName="accent_5" refType="h" fact="0.875"/>
                <dgm:constr type="ctrX" for="ch" forName="accent_5" refType="w"/>
                <dgm:constr type="ctrXOff" for="ch" forName="accent_5" refType="h" fact="-0.1082"/>
                <dgm:constr type="r" for="ch" forName="text_5" refType="ctrX" refFor="ch" refForName="accent_5"/>
                <dgm:constr type="rOff" for="ch" forName="text_5" refType="ctrXOff" refFor="ch" refForName="accent_5"/>
                <dgm:constr type="l" for="ch" forName="text_5"/>
                <dgm:constr type="w" for="ch" forName="text_5" refType="h" refFor="ch" refForName="text_5" op="gte"/>
                <dgm:constr type="h" for="ch" forName="text_5" refType="h" refFor="ch" refForName="accent_5" fact="0.8"/>
                <dgm:constr type="ctrY" for="ch" forName="text_5" refType="ctrY" refFor="ch" refForName="accent_5"/>
                <dgm:constr type="rMarg" for="ch" forName="text_5" refType="w" refFor="ch" refForName="accent_5" fact="1.8"/>
                <dgm:constr type="primFontSz" for="ch" ptType="node" op="equ" val="65"/>
              </dgm:constrLst>
            </dgm:if>
            <dgm:if name="Name19" axis="ch" ptType="node" func="cnt" op="equ" val="6">
              <dgm:constrLst>
                <dgm:constr type="h" for="ch" forName="cycle" refType="h"/>
                <dgm:constr type="w" for="ch" forName="cycle" refType="h" refFor="ch" refForName="cycle" fact="0.26"/>
                <dgm:constr type="r" for="ch" forName="cycle" refType="w"/>
                <dgm:constr type="ctrY" for="ch" forName="cycle" refType="h" fact="0.5"/>
                <dgm:constr type="diam" for="ch" forName="cycle" refType="h" fact="1.344"/>
                <dgm:constr type="h" for="ch" forName="accent_1" refType="h" fact="0.1316"/>
                <dgm:constr type="w" for="ch" forName="accent_1" refType="h" refFor="ch" refForName="accent_1" op="equ"/>
                <dgm:constr type="ctrY" for="ch" forName="accent_1" refType="h" fact="0.1053"/>
                <dgm:constr type="ctrX" for="ch" forName="accent_1" refType="w"/>
                <dgm:constr type="ctrXOff" for="ch" forName="accent_1" refType="h" fact="-0.0943"/>
                <dgm:constr type="r" for="ch" forName="text_1" refType="ctrX" refFor="ch" refForName="accent_1"/>
                <dgm:constr type="rOff" for="ch" forName="text_1" refType="ctrXOff" refFor="ch" refForName="accent_1"/>
                <dgm:constr type="l" for="ch" forName="text_1"/>
                <dgm:constr type="w" for="ch" forName="text_1" refType="h" refFor="ch" refForName="text_1" op="gte"/>
                <dgm:constr type="h" for="ch" forName="text_1" refType="h" refFor="ch" refForName="accent_1" fact="0.8"/>
                <dgm:constr type="ctrY" for="ch" forName="text_1" refType="ctrY" refFor="ch" refForName="accent_1"/>
                <dgm:constr type="rMarg" for="ch" forName="text_1" refType="w" refFor="ch" refForName="accent_1" fact="1.8"/>
                <dgm:constr type="h" for="ch" forName="accent_2" refType="h" fact="0.1316"/>
                <dgm:constr type="w" for="ch" forName="accent_2" refType="h" refFor="ch" refForName="accent_2" op="equ"/>
                <dgm:constr type="ctrY" for="ch" forName="accent_2" refType="h" fact="0.2632"/>
                <dgm:constr type="ctrX" for="ch" forName="accent_2" refType="w"/>
                <dgm:constr type="ctrXOff" for="ch" forName="accent_2" refType="h" fact="-0.1809"/>
                <dgm:constr type="r" for="ch" forName="text_2" refType="ctrX" refFor="ch" refForName="accent_2"/>
                <dgm:constr type="rOff" for="ch" forName="text_2" refType="ctrXOff" refFor="ch" refForName="accent_2"/>
                <dgm:constr type="l" for="ch" forName="text_2"/>
                <dgm:constr type="w" for="ch" forName="text_2" refType="h" refFor="ch" refForName="text_2" op="gte"/>
                <dgm:constr type="h" for="ch" forName="text_2" refType="h" refFor="ch" refForName="accent_2" fact="0.8"/>
                <dgm:constr type="ctrY" for="ch" forName="text_2" refType="ctrY" refFor="ch" refForName="accent_2"/>
                <dgm:constr type="rMarg" for="ch" forName="text_2" refType="w" refFor="ch" refForName="accent_2" fact="1.8"/>
                <dgm:constr type="h" for="ch" forName="accent_3" refType="h" fact="0.1316"/>
                <dgm:constr type="w" for="ch" forName="accent_3" refType="h" refFor="ch" refForName="accent_3" op="equ"/>
                <dgm:constr type="ctrY" for="ch" forName="accent_3" refType="h" fact="0.4211"/>
                <dgm:constr type="ctrX" for="ch" forName="accent_3" refType="w"/>
                <dgm:constr type="ctrXOff" for="ch" forName="accent_3" refType="h" fact="-0.2205"/>
                <dgm:constr type="r" for="ch" forName="text_3" refType="ctrX" refFor="ch" refForName="accent_3"/>
                <dgm:constr type="rOff" for="ch" forName="text_3" refType="ctrXOff" refFor="ch" refForName="accent_3"/>
                <dgm:constr type="l" for="ch" forName="text_3"/>
                <dgm:constr type="w" for="ch" forName="text_3" refType="h" refFor="ch" refForName="text_3" op="gte"/>
                <dgm:constr type="h" for="ch" forName="text_3" refType="h" refFor="ch" refForName="accent_3" fact="0.8"/>
                <dgm:constr type="ctrY" for="ch" forName="text_3" refType="ctrY" refFor="ch" refForName="accent_3"/>
                <dgm:constr type="rMarg" for="ch" forName="text_3" refType="w" refFor="ch" refForName="accent_3" fact="1.8"/>
                <dgm:constr type="h" for="ch" forName="accent_4" refType="h" fact="0.1316"/>
                <dgm:constr type="w" for="ch" forName="accent_4" refType="h" refFor="ch" refForName="accent_4" op="equ"/>
                <dgm:constr type="ctrY" for="ch" forName="accent_4" refType="h" fact="0.5789"/>
                <dgm:constr type="ctrX" for="ch" forName="accent_4" refType="w"/>
                <dgm:constr type="ctrXOff" for="ch" forName="accent_4" refType="h" fact="-0.2205"/>
                <dgm:constr type="r" for="ch" forName="text_4" refType="ctrX" refFor="ch" refForName="accent_4"/>
                <dgm:constr type="rOff" for="ch" forName="text_4" refType="ctrXOff" refFor="ch" refForName="accent_4"/>
                <dgm:constr type="l" for="ch" forName="text_4"/>
                <dgm:constr type="w" for="ch" forName="text_4" refType="h" refFor="ch" refForName="text_4" op="gte"/>
                <dgm:constr type="h" for="ch" forName="text_4" refType="h" refFor="ch" refForName="accent_4" fact="0.8"/>
                <dgm:constr type="ctrY" for="ch" forName="text_4" refType="ctrY" refFor="ch" refForName="accent_4"/>
                <dgm:constr type="rMarg" for="ch" forName="text_4" refType="w" refFor="ch" refForName="accent_4" fact="1.8"/>
                <dgm:constr type="h" for="ch" forName="accent_5" refType="h" fact="0.1316"/>
                <dgm:constr type="w" for="ch" forName="accent_5" refType="h" refFor="ch" refForName="accent_5" op="equ"/>
                <dgm:constr type="ctrY" for="ch" forName="accent_5" refType="h" fact="0.7368"/>
                <dgm:constr type="ctrX" for="ch" forName="accent_5" refType="w"/>
                <dgm:constr type="ctrXOff" for="ch" forName="accent_5" refType="h" fact="-0.1809"/>
                <dgm:constr type="r" for="ch" forName="text_5" refType="ctrX" refFor="ch" refForName="accent_5"/>
                <dgm:constr type="rOff" for="ch" forName="text_5" refType="ctrXOff" refFor="ch" refForName="accent_5"/>
                <dgm:constr type="l" for="ch" forName="text_5"/>
                <dgm:constr type="w" for="ch" forName="text_5" refType="h" refFor="ch" refForName="text_5" op="gte"/>
                <dgm:constr type="h" for="ch" forName="text_5" refType="h" refFor="ch" refForName="accent_5" fact="0.8"/>
                <dgm:constr type="ctrY" for="ch" forName="text_5" refType="ctrY" refFor="ch" refForName="accent_5"/>
                <dgm:constr type="rMarg" for="ch" forName="text_5" refType="w" refFor="ch" refForName="accent_5" fact="1.8"/>
                <dgm:constr type="h" for="ch" forName="accent_6" refType="h" fact="0.1316"/>
                <dgm:constr type="w" for="ch" forName="accent_6" refType="h" refFor="ch" refForName="accent_6" op="equ"/>
                <dgm:constr type="ctrY" for="ch" forName="accent_6" refType="h" fact="0.8947"/>
                <dgm:constr type="ctrX" for="ch" forName="accent_6" refType="w"/>
                <dgm:constr type="ctrXOff" for="ch" forName="accent_6" refType="h" fact="-0.0943"/>
                <dgm:constr type="r" for="ch" forName="text_6" refType="ctrX" refFor="ch" refForName="accent_6"/>
                <dgm:constr type="rOff" for="ch" forName="text_6" refType="ctrXOff" refFor="ch" refForName="accent_6"/>
                <dgm:constr type="l" for="ch" forName="text_6"/>
                <dgm:constr type="w" for="ch" forName="text_6" refType="h" refFor="ch" refForName="text_6" op="gte"/>
                <dgm:constr type="h" for="ch" forName="text_6" refType="h" refFor="ch" refForName="accent_6" fact="0.8"/>
                <dgm:constr type="ctrY" for="ch" forName="text_6" refType="ctrY" refFor="ch" refForName="accent_6"/>
                <dgm:constr type="rMarg" for="ch" forName="text_6" refType="w" refFor="ch" refForName="accent_6" fact="1.8"/>
                <dgm:constr type="primFontSz" for="ch" ptType="node" op="equ" val="65"/>
              </dgm:constrLst>
            </dgm:if>
            <dgm:else name="Name20">
              <dgm:constrLst>
                <dgm:constr type="h" for="ch" forName="cycle" refType="h"/>
                <dgm:constr type="w" for="ch" forName="cycle" refType="h" refFor="ch" refForName="cycle" fact="0.26"/>
                <dgm:constr type="r" for="ch" forName="cycle" refType="w"/>
                <dgm:constr type="ctrY" for="ch" forName="cycle" refType="h" fact="0.5"/>
                <dgm:constr type="diam" for="ch" forName="cycle" refType="h" fact="1.344"/>
                <dgm:constr type="h" for="ch" forName="accent_1" refType="h" fact="0.1136"/>
                <dgm:constr type="w" for="ch" forName="accent_1" refType="h" refFor="ch" refForName="accent_1" op="equ"/>
                <dgm:constr type="ctrY" for="ch" forName="accent_1" refType="h" fact="0.0909"/>
                <dgm:constr type="ctrX" for="ch" forName="accent_1" refType="w"/>
                <dgm:constr type="ctrXOff" for="ch" forName="accent_1" refType="h" fact="-0.0835"/>
                <dgm:constr type="r" for="ch" forName="text_1" refType="ctrX" refFor="ch" refForName="accent_1"/>
                <dgm:constr type="rOff" for="ch" forName="text_1" refType="ctrXOff" refFor="ch" refForName="accent_1"/>
                <dgm:constr type="l" for="ch" forName="text_1"/>
                <dgm:constr type="w" for="ch" forName="text_1" refType="h" refFor="ch" refForName="text_1" op="gte"/>
                <dgm:constr type="h" for="ch" forName="text_1" refType="h" refFor="ch" refForName="accent_1" fact="0.8"/>
                <dgm:constr type="ctrY" for="ch" forName="text_1" refType="ctrY" refFor="ch" refForName="accent_1"/>
                <dgm:constr type="rMarg" for="ch" forName="text_1" refType="w" refFor="ch" refForName="accent_1" fact="1.8"/>
                <dgm:constr type="h" for="ch" forName="accent_2" refType="h" fact="0.1136"/>
                <dgm:constr type="w" for="ch" forName="accent_2" refType="h" refFor="ch" refForName="accent_2" op="equ"/>
                <dgm:constr type="ctrY" for="ch" forName="accent_2" refType="h" fact="0.2273"/>
                <dgm:constr type="ctrX" for="ch" forName="accent_2" refType="w"/>
                <dgm:constr type="ctrXOff" for="ch" forName="accent_2" refType="h" fact="-0.1658"/>
                <dgm:constr type="r" for="ch" forName="text_2" refType="ctrX" refFor="ch" refForName="accent_2"/>
                <dgm:constr type="rOff" for="ch" forName="text_2" refType="ctrXOff" refFor="ch" refForName="accent_2"/>
                <dgm:constr type="l" for="ch" forName="text_2"/>
                <dgm:constr type="w" for="ch" forName="text_2" refType="h" refFor="ch" refForName="text_2" op="gte"/>
                <dgm:constr type="h" for="ch" forName="text_2" refType="h" refFor="ch" refForName="accent_2" fact="0.8"/>
                <dgm:constr type="ctrY" for="ch" forName="text_2" refType="ctrY" refFor="ch" refForName="accent_2"/>
                <dgm:constr type="rMarg" for="ch" forName="text_2" refType="w" refFor="ch" refForName="accent_2" fact="1.8"/>
                <dgm:constr type="h" for="ch" forName="accent_3" refType="h" fact="0.1136"/>
                <dgm:constr type="w" for="ch" forName="accent_3" refType="h" refFor="ch" refForName="accent_3" op="equ"/>
                <dgm:constr type="ctrY" for="ch" forName="accent_3" refType="h" fact="0.3636"/>
                <dgm:constr type="ctrX" for="ch" forName="accent_3" refType="w"/>
                <dgm:constr type="ctrXOff" for="ch" forName="accent_3" refType="h" fact="-0.2109"/>
                <dgm:constr type="r" for="ch" forName="text_3" refType="ctrX" refFor="ch" refForName="accent_3"/>
                <dgm:constr type="rOff" for="ch" forName="text_3" refType="ctrXOff" refFor="ch" refForName="accent_3"/>
                <dgm:constr type="l" for="ch" forName="text_3"/>
                <dgm:constr type="w" for="ch" forName="text_3" refType="h" refFor="ch" refForName="text_3" op="gte"/>
                <dgm:constr type="h" for="ch" forName="text_3" refType="h" refFor="ch" refForName="accent_3" fact="0.8"/>
                <dgm:constr type="ctrY" for="ch" forName="text_3" refType="ctrY" refFor="ch" refForName="accent_3"/>
                <dgm:constr type="rMarg" for="ch" forName="text_3" refType="w" refFor="ch" refForName="accent_3" fact="1.8"/>
                <dgm:constr type="h" for="ch" forName="accent_4" refType="h" fact="0.1136"/>
                <dgm:constr type="w" for="ch" forName="accent_4" refType="h" refFor="ch" refForName="accent_4" op="equ"/>
                <dgm:constr type="ctrY" for="ch" forName="accent_4" refType="h" fact="0.5"/>
                <dgm:constr type="ctrX" for="ch" forName="accent_4" refType="w"/>
                <dgm:constr type="ctrXOff" for="ch" forName="accent_4" refType="h" fact="-0.2253"/>
                <dgm:constr type="r" for="ch" forName="text_4" refType="ctrX" refFor="ch" refForName="accent_4"/>
                <dgm:constr type="rOff" for="ch" forName="text_4" refType="ctrXOff" refFor="ch" refForName="accent_4"/>
                <dgm:constr type="l" for="ch" forName="text_4"/>
                <dgm:constr type="w" for="ch" forName="text_4" refType="h" refFor="ch" refForName="text_4" op="gte"/>
                <dgm:constr type="h" for="ch" forName="text_4" refType="h" refFor="ch" refForName="accent_4" fact="0.8"/>
                <dgm:constr type="ctrY" for="ch" forName="text_4" refType="ctrY" refFor="ch" refForName="accent_4"/>
                <dgm:constr type="rMarg" for="ch" forName="text_4" refType="w" refFor="ch" refForName="accent_4" fact="1.8"/>
                <dgm:constr type="h" for="ch" forName="accent_5" refType="h" fact="0.1136"/>
                <dgm:constr type="w" for="ch" forName="accent_5" refType="h" refFor="ch" refForName="accent_5" op="equ"/>
                <dgm:constr type="ctrY" for="ch" forName="accent_5" refType="h" fact="0.6364"/>
                <dgm:constr type="ctrX" for="ch" forName="accent_5" refType="w"/>
                <dgm:constr type="ctrXOff" for="ch" forName="accent_5" refType="h" fact="-0.2109"/>
                <dgm:constr type="r" for="ch" forName="text_5" refType="ctrX" refFor="ch" refForName="accent_5"/>
                <dgm:constr type="rOff" for="ch" forName="text_5" refType="ctrXOff" refFor="ch" refForName="accent_5"/>
                <dgm:constr type="l" for="ch" forName="text_5"/>
                <dgm:constr type="w" for="ch" forName="text_5" refType="h" refFor="ch" refForName="text_5" op="gte"/>
                <dgm:constr type="h" for="ch" forName="text_5" refType="h" refFor="ch" refForName="accent_5" fact="0.8"/>
                <dgm:constr type="ctrY" for="ch" forName="text_5" refType="ctrY" refFor="ch" refForName="accent_5"/>
                <dgm:constr type="rMarg" for="ch" forName="text_5" refType="w" refFor="ch" refForName="accent_5" fact="1.8"/>
                <dgm:constr type="h" for="ch" forName="accent_6" refType="h" fact="0.1136"/>
                <dgm:constr type="w" for="ch" forName="accent_6" refType="h" refFor="ch" refForName="accent_6" op="equ"/>
                <dgm:constr type="ctrY" for="ch" forName="accent_6" refType="h" fact="0.7727"/>
                <dgm:constr type="ctrX" for="ch" forName="accent_6" refType="w"/>
                <dgm:constr type="ctrXOff" for="ch" forName="accent_6" refType="h" fact="-0.1658"/>
                <dgm:constr type="r" for="ch" forName="text_6" refType="ctrX" refFor="ch" refForName="accent_6"/>
                <dgm:constr type="rOff" for="ch" forName="text_6" refType="ctrXOff" refFor="ch" refForName="accent_6"/>
                <dgm:constr type="l" for="ch" forName="text_6"/>
                <dgm:constr type="w" for="ch" forName="text_6" refType="h" refFor="ch" refForName="text_6" op="gte"/>
                <dgm:constr type="h" for="ch" forName="text_6" refType="h" refFor="ch" refForName="accent_6" fact="0.8"/>
                <dgm:constr type="ctrY" for="ch" forName="text_6" refType="ctrY" refFor="ch" refForName="accent_6"/>
                <dgm:constr type="rMarg" for="ch" forName="text_6" refType="w" refFor="ch" refForName="accent_6" fact="1.8"/>
                <dgm:constr type="h" for="ch" forName="accent_7" refType="h" fact="0.1136"/>
                <dgm:constr type="w" for="ch" forName="accent_7" refType="h" refFor="ch" refForName="accent_7" op="equ"/>
                <dgm:constr type="ctrY" for="ch" forName="accent_7" refType="h" fact="0.9091"/>
                <dgm:constr type="ctrX" for="ch" forName="accent_7" refType="w"/>
                <dgm:constr type="ctrXOff" for="ch" forName="accent_7" refType="h" fact="-0.0835"/>
                <dgm:constr type="r" for="ch" forName="text_7" refType="ctrX" refFor="ch" refForName="accent_7"/>
                <dgm:constr type="rOff" for="ch" forName="text_7" refType="ctrXOff" refFor="ch" refForName="accent_7"/>
                <dgm:constr type="l" for="ch" forName="text_7"/>
                <dgm:constr type="w" for="ch" forName="text_7" refType="h" refFor="ch" refForName="text_7" op="gte"/>
                <dgm:constr type="h" for="ch" forName="text_7" refType="h" refFor="ch" refForName="accent_7" fact="0.8"/>
                <dgm:constr type="ctrY" for="ch" forName="text_7" refType="ctrY" refFor="ch" refForName="accent_7"/>
                <dgm:constr type="rMarg" for="ch" forName="text_7" refType="w" refFor="ch" refForName="accent_7" fact="1.8"/>
                <dgm:constr type="primFontSz" for="ch" ptType="node" op="equ" val="65"/>
              </dgm:constrLst>
            </dgm:else>
          </dgm:choose>
        </dgm:else>
      </dgm:choose>
      <dgm:layoutNode name="cycle">
        <dgm:choose name="Name21">
          <dgm:if name="Name22" func="var" arg="dir" op="equ" val="norm">
            <dgm:alg type="cycle">
              <dgm:param type="stAng" val="45"/>
              <dgm:param type="spanAng" val="90"/>
            </dgm:alg>
          </dgm:if>
          <dgm:else name="Name23">
            <dgm:alg type="cycle">
              <dgm:param type="stAng" val="225"/>
              <dgm:param type="spanAng" val="90"/>
            </dgm:alg>
          </dgm:else>
        </dgm:choose>
        <dgm:shape xmlns:r="http://schemas.openxmlformats.org/officeDocument/2006/relationships" r:blip="">
          <dgm:adjLst/>
        </dgm:shape>
        <dgm:presOf/>
        <dgm:constrLst>
          <dgm:constr type="w" for="ch" val="1"/>
          <dgm:constr type="h" for="ch" val="1"/>
          <dgm:constr type="diam" for="ch" forName="conn" refType="diam"/>
        </dgm:constrLst>
        <dgm:layoutNode name="srcNode">
          <dgm:alg type="sp"/>
          <dgm:shape xmlns:r="http://schemas.openxmlformats.org/officeDocument/2006/relationships" type="rect" r:blip="" hideGeom="1">
            <dgm:adjLst/>
          </dgm:shape>
          <dgm:presOf/>
        </dgm:layoutNode>
        <dgm:layoutNode name="conn" styleLbl="parChTrans1D2">
          <dgm:alg type="conn">
            <dgm:param type="connRout" val="curve"/>
            <dgm:param type="srcNode" val="srcNode"/>
            <dgm:param type="dstNode" val="dstNode"/>
            <dgm:param type="begPts" val="ctr"/>
            <dgm:param type="endPts" val="ctr"/>
            <dgm:param type="endSty" val="noArr"/>
          </dgm:alg>
          <dgm:shape xmlns:r="http://schemas.openxmlformats.org/officeDocument/2006/relationships" type="conn" r:blip="">
            <dgm:adjLst/>
          </dgm:shape>
          <dgm:presOf axis="desOrSelf" ptType="sibTrans" hideLastTrans="0" st="0" cnt="1"/>
          <dgm:constrLst>
            <dgm:constr type="begPad"/>
            <dgm:constr type="endPad"/>
          </dgm:constrLst>
        </dgm:layoutNode>
        <dgm:layoutNode name="extraNode">
          <dgm:alg type="sp"/>
          <dgm:shape xmlns:r="http://schemas.openxmlformats.org/officeDocument/2006/relationships" type="rect" r:blip="" hideGeom="1">
            <dgm:adjLst/>
          </dgm:shape>
          <dgm:presOf/>
        </dgm:layoutNode>
        <dgm:layoutNode name="dstNode">
          <dgm:alg type="sp"/>
          <dgm:shape xmlns:r="http://schemas.openxmlformats.org/officeDocument/2006/relationships" type="rect" r:blip="" hideGeom="1">
            <dgm:adjLst/>
          </dgm:shape>
          <dgm:presOf/>
        </dgm:layoutNode>
      </dgm:layoutNode>
      <dgm:forEach name="wrapper" axis="self" ptType="parTrans">
        <dgm:forEach name="wrapper2" axis="self" ptType="sibTrans" st="2">
          <dgm:forEach name="accentRepeat" axis="self">
            <dgm:layoutNode name="accentRepeatNode" styleLbl="solidFgAcc1">
              <dgm:alg type="sp"/>
              <dgm:shape xmlns:r="http://schemas.openxmlformats.org/officeDocument/2006/relationships" type="ellipse" r:blip="">
                <dgm:adjLst/>
              </dgm:shape>
              <dgm:presOf/>
            </dgm:layoutNode>
          </dgm:forEach>
        </dgm:forEach>
      </dgm:forEach>
      <dgm:forEach name="Name24" axis="ch" ptType="node" cnt="1">
        <dgm:layoutNode name="text_1" styleLbl="node1">
          <dgm:varLst>
            <dgm:bulletEnabled val="1"/>
          </dgm:varLst>
          <dgm:choose name="Name25">
            <dgm:if name="Name26" func="var" arg="dir" op="equ" val="norm">
              <dgm:alg type="tx">
                <dgm:param type="parTxLTRAlign" val="l"/>
                <dgm:param type="shpTxLTRAlignCh" val="l"/>
                <dgm:param type="parTxRTLAlign" val="l"/>
                <dgm:param type="shpTxRTLAlignCh" val="l"/>
              </dgm:alg>
            </dgm:if>
            <dgm:else name="Name27">
              <dgm:alg type="tx">
                <dgm:param type="parTxLTRAlign" val="r"/>
                <dgm:param type="shpTxLTRAlignCh" val="r"/>
                <dgm:param type="parTxRTLAlign" val="r"/>
                <dgm:param type="shpTxRTLAlignCh" val="r"/>
              </dgm:alg>
            </dgm:else>
          </dgm:choose>
          <dgm:shape xmlns:r="http://schemas.openxmlformats.org/officeDocument/2006/relationships" type="rect" r:blip="">
            <dgm:adjLst/>
          </dgm:shape>
          <dgm:presOf axis="desOrSelf" ptType="node"/>
          <dgm:constrLst>
            <dgm:constr type="primFontSz" val="65"/>
            <dgm:constr type="lMarg" refType="primFontSz" fact="0.2"/>
            <dgm:constr type="rMarg" refType="primFontSz" fact="0.2"/>
            <dgm:constr type="tMarg" refType="primFontSz" fact="0.2"/>
            <dgm:constr type="bMarg" refType="primFontSz" fact="0.2"/>
          </dgm:constrLst>
          <dgm:ruleLst>
            <dgm:rule type="primFontSz" val="5" fact="NaN" max="NaN"/>
          </dgm:ruleLst>
        </dgm:layoutNode>
        <dgm:layoutNode name="accent_1">
          <dgm:alg type="sp"/>
          <dgm:shape xmlns:r="http://schemas.openxmlformats.org/officeDocument/2006/relationships" r:blip="">
            <dgm:adjLst/>
          </dgm:shape>
          <dgm:presOf/>
          <dgm:constrLst/>
          <dgm:forEach name="Name28" ref="accentRepeat"/>
        </dgm:layoutNode>
      </dgm:forEach>
      <dgm:forEach name="Name29" axis="ch" ptType="node" st="2" cnt="1">
        <dgm:layoutNode name="text_2" styleLbl="node1">
          <dgm:varLst>
            <dgm:bulletEnabled val="1"/>
          </dgm:varLst>
          <dgm:choose name="Name30">
            <dgm:if name="Name31" func="var" arg="dir" op="equ" val="norm">
              <dgm:alg type="tx">
                <dgm:param type="parTxLTRAlign" val="l"/>
                <dgm:param type="shpTxLTRAlignCh" val="l"/>
                <dgm:param type="parTxRTLAlign" val="l"/>
                <dgm:param type="shpTxRTLAlignCh" val="l"/>
              </dgm:alg>
            </dgm:if>
            <dgm:else name="Name32">
              <dgm:alg type="tx">
                <dgm:param type="parTxLTRAlign" val="r"/>
                <dgm:param type="shpTxLTRAlignCh" val="r"/>
                <dgm:param type="parTxRTLAlign" val="r"/>
                <dgm:param type="shpTxRTLAlignCh" val="r"/>
              </dgm:alg>
            </dgm:else>
          </dgm:choose>
          <dgm:shape xmlns:r="http://schemas.openxmlformats.org/officeDocument/2006/relationships" type="rect" r:blip="">
            <dgm:adjLst/>
          </dgm:shape>
          <dgm:presOf axis="desOrSelf" ptType="node"/>
          <dgm:constrLst>
            <dgm:constr type="primFontSz" val="65"/>
            <dgm:constr type="lMarg" refType="primFontSz" fact="0.2"/>
            <dgm:constr type="rMarg" refType="primFontSz" fact="0.2"/>
            <dgm:constr type="tMarg" refType="primFontSz" fact="0.2"/>
            <dgm:constr type="bMarg" refType="primFontSz" fact="0.2"/>
          </dgm:constrLst>
          <dgm:ruleLst>
            <dgm:rule type="primFontSz" val="5" fact="NaN" max="NaN"/>
          </dgm:ruleLst>
        </dgm:layoutNode>
        <dgm:layoutNode name="accent_2">
          <dgm:alg type="sp"/>
          <dgm:shape xmlns:r="http://schemas.openxmlformats.org/officeDocument/2006/relationships" r:blip="">
            <dgm:adjLst/>
          </dgm:shape>
          <dgm:presOf/>
          <dgm:constrLst/>
          <dgm:forEach name="Name33" ref="accentRepeat"/>
        </dgm:layoutNode>
      </dgm:forEach>
      <dgm:forEach name="Name34" axis="ch" ptType="node" st="3" cnt="1">
        <dgm:layoutNode name="text_3" styleLbl="node1">
          <dgm:varLst>
            <dgm:bulletEnabled val="1"/>
          </dgm:varLst>
          <dgm:choose name="Name35">
            <dgm:if name="Name36" func="var" arg="dir" op="equ" val="norm">
              <dgm:alg type="tx">
                <dgm:param type="parTxLTRAlign" val="l"/>
                <dgm:param type="shpTxLTRAlignCh" val="l"/>
                <dgm:param type="parTxRTLAlign" val="l"/>
                <dgm:param type="shpTxRTLAlignCh" val="l"/>
              </dgm:alg>
            </dgm:if>
            <dgm:else name="Name37">
              <dgm:alg type="tx">
                <dgm:param type="parTxLTRAlign" val="r"/>
                <dgm:param type="shpTxLTRAlignCh" val="r"/>
                <dgm:param type="parTxRTLAlign" val="r"/>
                <dgm:param type="shpTxRTLAlignCh" val="r"/>
              </dgm:alg>
            </dgm:else>
          </dgm:choose>
          <dgm:shape xmlns:r="http://schemas.openxmlformats.org/officeDocument/2006/relationships" type="rect" r:blip="">
            <dgm:adjLst/>
          </dgm:shape>
          <dgm:presOf axis="desOrSelf" ptType="node"/>
          <dgm:constrLst>
            <dgm:constr type="primFontSz" val="65"/>
            <dgm:constr type="lMarg" refType="primFontSz" fact="0.2"/>
            <dgm:constr type="rMarg" refType="primFontSz" fact="0.2"/>
            <dgm:constr type="tMarg" refType="primFontSz" fact="0.2"/>
            <dgm:constr type="bMarg" refType="primFontSz" fact="0.2"/>
          </dgm:constrLst>
          <dgm:ruleLst>
            <dgm:rule type="primFontSz" val="5" fact="NaN" max="NaN"/>
          </dgm:ruleLst>
        </dgm:layoutNode>
        <dgm:layoutNode name="accent_3">
          <dgm:alg type="sp"/>
          <dgm:shape xmlns:r="http://schemas.openxmlformats.org/officeDocument/2006/relationships" r:blip="">
            <dgm:adjLst/>
          </dgm:shape>
          <dgm:presOf/>
          <dgm:constrLst/>
          <dgm:forEach name="Name38" ref="accentRepeat"/>
        </dgm:layoutNode>
      </dgm:forEach>
      <dgm:forEach name="Name39" axis="ch" ptType="node" st="4" cnt="1">
        <dgm:layoutNode name="text_4" styleLbl="node1">
          <dgm:varLst>
            <dgm:bulletEnabled val="1"/>
          </dgm:varLst>
          <dgm:choose name="Name40">
            <dgm:if name="Name41" func="var" arg="dir" op="equ" val="norm">
              <dgm:alg type="tx">
                <dgm:param type="parTxLTRAlign" val="l"/>
                <dgm:param type="shpTxLTRAlignCh" val="l"/>
                <dgm:param type="parTxRTLAlign" val="l"/>
                <dgm:param type="shpTxRTLAlignCh" val="l"/>
              </dgm:alg>
            </dgm:if>
            <dgm:else name="Name42">
              <dgm:alg type="tx">
                <dgm:param type="parTxLTRAlign" val="r"/>
                <dgm:param type="shpTxLTRAlignCh" val="r"/>
                <dgm:param type="parTxRTLAlign" val="r"/>
                <dgm:param type="shpTxRTLAlignCh" val="r"/>
              </dgm:alg>
            </dgm:else>
          </dgm:choose>
          <dgm:shape xmlns:r="http://schemas.openxmlformats.org/officeDocument/2006/relationships" type="rect" r:blip="">
            <dgm:adjLst/>
          </dgm:shape>
          <dgm:presOf axis="desOrSelf" ptType="node"/>
          <dgm:constrLst>
            <dgm:constr type="primFontSz" val="65"/>
            <dgm:constr type="lMarg" refType="primFontSz" fact="0.2"/>
            <dgm:constr type="rMarg" refType="primFontSz" fact="0.2"/>
            <dgm:constr type="tMarg" refType="primFontSz" fact="0.2"/>
            <dgm:constr type="bMarg" refType="primFontSz" fact="0.2"/>
          </dgm:constrLst>
          <dgm:ruleLst>
            <dgm:rule type="primFontSz" val="5" fact="NaN" max="NaN"/>
          </dgm:ruleLst>
        </dgm:layoutNode>
        <dgm:layoutNode name="accent_4">
          <dgm:alg type="sp"/>
          <dgm:shape xmlns:r="http://schemas.openxmlformats.org/officeDocument/2006/relationships" r:blip="">
            <dgm:adjLst/>
          </dgm:shape>
          <dgm:presOf/>
          <dgm:constrLst/>
          <dgm:forEach name="Name43" ref="accentRepeat"/>
        </dgm:layoutNode>
      </dgm:forEach>
      <dgm:forEach name="Name44" axis="ch" ptType="node" st="5" cnt="1">
        <dgm:layoutNode name="text_5" styleLbl="node1">
          <dgm:varLst>
            <dgm:bulletEnabled val="1"/>
          </dgm:varLst>
          <dgm:choose name="Name45">
            <dgm:if name="Name46" func="var" arg="dir" op="equ" val="norm">
              <dgm:alg type="tx">
                <dgm:param type="parTxLTRAlign" val="l"/>
                <dgm:param type="shpTxLTRAlignCh" val="l"/>
                <dgm:param type="parTxRTLAlign" val="l"/>
                <dgm:param type="shpTxRTLAlignCh" val="l"/>
              </dgm:alg>
            </dgm:if>
            <dgm:else name="Name47">
              <dgm:alg type="tx">
                <dgm:param type="parTxLTRAlign" val="r"/>
                <dgm:param type="shpTxLTRAlignCh" val="r"/>
                <dgm:param type="parTxRTLAlign" val="r"/>
                <dgm:param type="shpTxRTLAlignCh" val="r"/>
              </dgm:alg>
            </dgm:else>
          </dgm:choose>
          <dgm:shape xmlns:r="http://schemas.openxmlformats.org/officeDocument/2006/relationships" type="rect" r:blip="">
            <dgm:adjLst/>
          </dgm:shape>
          <dgm:presOf axis="desOrSelf" ptType="node"/>
          <dgm:constrLst>
            <dgm:constr type="primFontSz" val="65"/>
            <dgm:constr type="lMarg" refType="primFontSz" fact="0.2"/>
            <dgm:constr type="rMarg" refType="primFontSz" fact="0.2"/>
            <dgm:constr type="tMarg" refType="primFontSz" fact="0.2"/>
            <dgm:constr type="bMarg" refType="primFontSz" fact="0.2"/>
          </dgm:constrLst>
          <dgm:ruleLst>
            <dgm:rule type="primFontSz" val="5" fact="NaN" max="NaN"/>
          </dgm:ruleLst>
        </dgm:layoutNode>
        <dgm:layoutNode name="accent_5">
          <dgm:alg type="sp"/>
          <dgm:shape xmlns:r="http://schemas.openxmlformats.org/officeDocument/2006/relationships" r:blip="">
            <dgm:adjLst/>
          </dgm:shape>
          <dgm:presOf/>
          <dgm:constrLst/>
          <dgm:forEach name="Name48" ref="accentRepeat"/>
        </dgm:layoutNode>
      </dgm:forEach>
      <dgm:forEach name="Name49" axis="ch" ptType="node" st="6" cnt="1">
        <dgm:layoutNode name="text_6" styleLbl="node1">
          <dgm:varLst>
            <dgm:bulletEnabled val="1"/>
          </dgm:varLst>
          <dgm:choose name="Name50">
            <dgm:if name="Name51" func="var" arg="dir" op="equ" val="norm">
              <dgm:alg type="tx">
                <dgm:param type="parTxLTRAlign" val="l"/>
                <dgm:param type="shpTxLTRAlignCh" val="l"/>
                <dgm:param type="parTxRTLAlign" val="l"/>
                <dgm:param type="shpTxRTLAlignCh" val="l"/>
              </dgm:alg>
            </dgm:if>
            <dgm:else name="Name52">
              <dgm:alg type="tx">
                <dgm:param type="parTxLTRAlign" val="r"/>
                <dgm:param type="shpTxLTRAlignCh" val="r"/>
                <dgm:param type="parTxRTLAlign" val="r"/>
                <dgm:param type="shpTxRTLAlignCh" val="r"/>
              </dgm:alg>
            </dgm:else>
          </dgm:choose>
          <dgm:shape xmlns:r="http://schemas.openxmlformats.org/officeDocument/2006/relationships" type="rect" r:blip="">
            <dgm:adjLst/>
          </dgm:shape>
          <dgm:presOf axis="desOrSelf" ptType="node"/>
          <dgm:constrLst>
            <dgm:constr type="primFontSz" val="65"/>
            <dgm:constr type="lMarg" refType="primFontSz" fact="0.2"/>
            <dgm:constr type="rMarg" refType="primFontSz" fact="0.2"/>
            <dgm:constr type="tMarg" refType="primFontSz" fact="0.2"/>
            <dgm:constr type="bMarg" refType="primFontSz" fact="0.2"/>
          </dgm:constrLst>
          <dgm:ruleLst>
            <dgm:rule type="primFontSz" val="5" fact="NaN" max="NaN"/>
          </dgm:ruleLst>
        </dgm:layoutNode>
        <dgm:layoutNode name="accent_6">
          <dgm:alg type="sp"/>
          <dgm:shape xmlns:r="http://schemas.openxmlformats.org/officeDocument/2006/relationships" r:blip="">
            <dgm:adjLst/>
          </dgm:shape>
          <dgm:presOf/>
          <dgm:constrLst/>
          <dgm:forEach name="Name53" ref="accentRepeat"/>
        </dgm:layoutNode>
      </dgm:forEach>
      <dgm:forEach name="Name54" axis="ch" ptType="node" st="7" cnt="1">
        <dgm:layoutNode name="text_7" styleLbl="node1">
          <dgm:varLst>
            <dgm:bulletEnabled val="1"/>
          </dgm:varLst>
          <dgm:choose name="Name55">
            <dgm:if name="Name56" func="var" arg="dir" op="equ" val="norm">
              <dgm:alg type="tx">
                <dgm:param type="parTxLTRAlign" val="l"/>
                <dgm:param type="shpTxLTRAlignCh" val="l"/>
                <dgm:param type="parTxRTLAlign" val="l"/>
                <dgm:param type="shpTxRTLAlignCh" val="l"/>
              </dgm:alg>
            </dgm:if>
            <dgm:else name="Name57">
              <dgm:alg type="tx">
                <dgm:param type="parTxLTRAlign" val="r"/>
                <dgm:param type="shpTxLTRAlignCh" val="r"/>
                <dgm:param type="parTxRTLAlign" val="r"/>
                <dgm:param type="shpTxRTLAlignCh" val="r"/>
              </dgm:alg>
            </dgm:else>
          </dgm:choose>
          <dgm:shape xmlns:r="http://schemas.openxmlformats.org/officeDocument/2006/relationships" type="rect" r:blip="">
            <dgm:adjLst/>
          </dgm:shape>
          <dgm:presOf axis="desOrSelf" ptType="node"/>
          <dgm:constrLst>
            <dgm:constr type="primFontSz" val="65"/>
            <dgm:constr type="lMarg" refType="primFontSz" fact="0.2"/>
            <dgm:constr type="rMarg" refType="primFontSz" fact="0.2"/>
            <dgm:constr type="tMarg" refType="primFontSz" fact="0.2"/>
            <dgm:constr type="bMarg" refType="primFontSz" fact="0.2"/>
          </dgm:constrLst>
          <dgm:ruleLst>
            <dgm:rule type="primFontSz" val="5" fact="NaN" max="NaN"/>
          </dgm:ruleLst>
        </dgm:layoutNode>
        <dgm:layoutNode name="accent_7">
          <dgm:alg type="sp"/>
          <dgm:shape xmlns:r="http://schemas.openxmlformats.org/officeDocument/2006/relationships" r:blip="">
            <dgm:adjLst/>
          </dgm:shape>
          <dgm:presOf/>
          <dgm:constrLst/>
          <dgm:forEach name="Name58" ref="accentRepeat"/>
        </dgm:layoutNode>
      </dgm:forEach>
    </dgm:layoutNode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3">
  <dgm:title val=""/>
  <dgm:desc val=""/>
  <dgm:catLst>
    <dgm:cat type="simple" pri="103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lnNode1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dk1"/>
      </a:fontRef>
    </dgm:style>
  </dgm:styleLbl>
  <dgm:styleLbl name="venn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14287</xdr:rowOff>
    </xdr:from>
    <xdr:to>
      <xdr:col>7</xdr:col>
      <xdr:colOff>304800</xdr:colOff>
      <xdr:row>19</xdr:row>
      <xdr:rowOff>90487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3AA6A9FB-2D72-1621-99F9-37657AC367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DF8CF6-7102-4D24-BF1A-457B15200686}" name="Table1" displayName="Table1" ref="B7:D20" totalsRowShown="0" headerRowDxfId="64" dataDxfId="63">
  <autoFilter ref="B7:D20" xr:uid="{21DF8CF6-7102-4D24-BF1A-457B15200686}"/>
  <tableColumns count="3">
    <tableColumn id="1" xr3:uid="{2D43E0C5-6915-4D4E-ABF1-5812E6A5E489}" name="Account Code" dataDxfId="62"/>
    <tableColumn id="2" xr3:uid="{88FD35BC-CD66-4108-A714-50131B055C8D}" name="Account Name" dataDxfId="61"/>
    <tableColumn id="3" xr3:uid="{53FC45E3-0943-462E-B9DE-8D56CF4BD494}" name="Account Type" dataDxfId="6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395FB0-B31D-449D-9F2E-FB696618BEEF}" name="Table2" displayName="Table2" ref="A4:F37" totalsRowShown="0" headerRowDxfId="59" dataDxfId="58">
  <autoFilter ref="A4:F37" xr:uid="{23395FB0-B31D-449D-9F2E-FB696618BEEF}"/>
  <tableColumns count="6">
    <tableColumn id="1" xr3:uid="{110CCC49-A689-44EB-BFE9-8F7ECFF0F950}" name="Date" dataDxfId="57"/>
    <tableColumn id="2" xr3:uid="{E2CAF041-D930-4A66-83CF-C796B0909689}" name="Description" dataDxfId="56"/>
    <tableColumn id="3" xr3:uid="{15D413CD-4312-46A3-8BD1-602D140A4DF9}" name="Debit Account" dataDxfId="55"/>
    <tableColumn id="4" xr3:uid="{9F6AC52B-231A-4F80-9B1A-35E4B127AC89}" name="Debit (€)" dataDxfId="54"/>
    <tableColumn id="5" xr3:uid="{67CB91E5-919B-4FF2-8445-B7F039A30306}" name="Credit Account" dataDxfId="53"/>
    <tableColumn id="6" xr3:uid="{598530D8-6A6A-4939-8A6A-5AC10F5D3C26}" name="Credit (€)" dataDxfId="5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8500BC-0646-40B6-A116-6704E9EF4974}" name="Table3" displayName="Table3" ref="A4:E38" totalsRowShown="0" headerRowDxfId="41" dataDxfId="40">
  <autoFilter ref="A4:E38" xr:uid="{A98500BC-0646-40B6-A116-6704E9EF4974}"/>
  <tableColumns count="5">
    <tableColumn id="1" xr3:uid="{AC21CA0E-0B93-4E0C-B97A-7F6D069BC070}" name="Date" dataDxfId="46"/>
    <tableColumn id="2" xr3:uid="{224074C7-93EB-4CC1-86C4-375318081941}" name="Description" dataDxfId="45"/>
    <tableColumn id="3" xr3:uid="{77BE9C62-4C2B-4AE9-8194-EEA1221BCA9E}" name="Debit (€)" dataDxfId="44"/>
    <tableColumn id="4" xr3:uid="{C1608BE3-4E56-49AC-8181-3CEED26594D8}" name="Credit (€)" dataDxfId="43"/>
    <tableColumn id="5" xr3:uid="{0711A632-D51B-4C9B-9CED-FC1FF13C1628}" name="Balance (€)" dataDxfId="4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FE1D6EA-EEE7-4E8F-8662-15AA91EB4DCD}" name="Table35" displayName="Table35" ref="G4:K24" totalsRowShown="0" headerRowDxfId="34" dataDxfId="33">
  <autoFilter ref="G4:K24" xr:uid="{7FE1D6EA-EEE7-4E8F-8662-15AA91EB4DCD}"/>
  <tableColumns count="5">
    <tableColumn id="1" xr3:uid="{79FA8403-72A9-4B07-B79A-B4B27F493D4D}" name="Date" dataDxfId="39"/>
    <tableColumn id="2" xr3:uid="{FFA173A4-3C45-484E-ACD0-CBE89008D263}" name="Description" dataDxfId="38"/>
    <tableColumn id="3" xr3:uid="{17FC66E3-6139-442B-BD08-7C7ADB6A1058}" name="Debit (€)" dataDxfId="37"/>
    <tableColumn id="4" xr3:uid="{90B94EC3-6DDF-439B-BB3D-49EF3D6CC4D8}" name="Credit Account" dataDxfId="36"/>
    <tableColumn id="5" xr3:uid="{D31D35AC-0E70-4FBE-9E4A-E1907EEC519E}" name="Balance (€)" dataDxfId="3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2999EC-F64D-4547-AF2B-AEA38ABE13C0}" name="Table36" displayName="Table36" ref="M4:Q9" totalsRowShown="0" headerRowDxfId="27" dataDxfId="26">
  <autoFilter ref="M4:Q9" xr:uid="{512999EC-F64D-4547-AF2B-AEA38ABE13C0}"/>
  <tableColumns count="5">
    <tableColumn id="1" xr3:uid="{99E79D7B-3E31-48BD-BC61-8FC008D74434}" name="Date" dataDxfId="32"/>
    <tableColumn id="2" xr3:uid="{FC1B44E8-9F56-45B6-9E80-9355EDAA828E}" name="Description" dataDxfId="31"/>
    <tableColumn id="3" xr3:uid="{0249AF8C-1536-4492-88E6-8D8AECC8EBD4}" name="Debit (€)" dataDxfId="30"/>
    <tableColumn id="4" xr3:uid="{B7422FEA-7E64-482C-86AC-6F3E7052575E}" name="Credit Account" dataDxfId="29"/>
    <tableColumn id="5" xr3:uid="{341FFE89-47CB-4F51-8FA0-A3A449BEAEF9}" name="Balance (€)" dataDxfId="2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A27F618-123D-4451-B869-C5F1193561E5}" name="Table37" displayName="Table37" ref="M21:Q25" totalsRowShown="0" headerRowDxfId="20" dataDxfId="19">
  <autoFilter ref="M21:Q25" xr:uid="{5A27F618-123D-4451-B869-C5F1193561E5}"/>
  <tableColumns count="5">
    <tableColumn id="1" xr3:uid="{A3AECCCB-391E-40C2-B3E1-88865DA1CA12}" name="Date" dataDxfId="25"/>
    <tableColumn id="2" xr3:uid="{5330620F-0DD5-49D5-BB7F-AB5C04135972}" name="Description" dataDxfId="24"/>
    <tableColumn id="3" xr3:uid="{0D2B1DCA-1DFA-4610-8963-1C2C768D1AAC}" name="Debit (€)" dataDxfId="23"/>
    <tableColumn id="4" xr3:uid="{12B87862-0046-4833-9258-F8923EAF7A88}" name="Credit Account" dataDxfId="22"/>
    <tableColumn id="5" xr3:uid="{D134ED0F-F9B2-423C-875A-DC6638CA7512}" name="Balance (€)" dataDxfId="2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9D41BD2-2F4D-43AB-9ECF-949469F8EF22}" name="Table378" displayName="Table378" ref="M14:Q17" totalsRowShown="0" headerRowDxfId="13" dataDxfId="12">
  <autoFilter ref="M14:Q17" xr:uid="{79D41BD2-2F4D-43AB-9ECF-949469F8EF22}"/>
  <tableColumns count="5">
    <tableColumn id="1" xr3:uid="{B58A4708-FC3C-43AC-A86A-5FAE7B8EDAB7}" name="Date" dataDxfId="18"/>
    <tableColumn id="2" xr3:uid="{5E85973A-FB44-4A81-97ED-D975A4740E5F}" name="Description" dataDxfId="17"/>
    <tableColumn id="3" xr3:uid="{3E51FDA7-1EF6-4661-AB55-4CB567D16C76}" name="Debit (€)" dataDxfId="16"/>
    <tableColumn id="4" xr3:uid="{23BB3807-7E48-4548-99E8-74EC9EE3C946}" name="Credit Account" dataDxfId="15"/>
    <tableColumn id="5" xr3:uid="{C246AD91-8B04-42DF-B088-B4E45BDD4BF5}" name="Balance (€)" dataDxfId="1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F269DB8-8A2F-47DC-8E2E-400B8834DAF5}" name="Table379" displayName="Table379" ref="M29:Q36" totalsRowShown="0" headerRowDxfId="6" dataDxfId="5">
  <autoFilter ref="M29:Q36" xr:uid="{7F269DB8-8A2F-47DC-8E2E-400B8834DAF5}"/>
  <tableColumns count="5">
    <tableColumn id="1" xr3:uid="{42BDC9D1-B632-47DD-9231-A5B59615BB5E}" name="Date" dataDxfId="11"/>
    <tableColumn id="2" xr3:uid="{8B447529-73FA-4DDA-B836-6AF95D0B3268}" name="Description" dataDxfId="10"/>
    <tableColumn id="3" xr3:uid="{B22B1FCD-AFF8-4C82-8AF5-DE8DC9970450}" name="Debit (€)" dataDxfId="9"/>
    <tableColumn id="4" xr3:uid="{2E29ED60-1104-4D60-B0A6-132F4E69B1AF}" name="Credit Account" dataDxfId="8"/>
    <tableColumn id="5" xr3:uid="{25884799-558B-44C9-BA76-6F2637E53922}" name="Balance (€)" dataDxfId="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773833A-8131-4E2E-9625-7E17D8F837CA}" name="Table9" displayName="Table9" ref="A3:C15" totalsRowShown="0" headerRowDxfId="49" dataDxfId="50">
  <autoFilter ref="A3:C15" xr:uid="{2773833A-8131-4E2E-9625-7E17D8F837CA}"/>
  <tableColumns count="3">
    <tableColumn id="1" xr3:uid="{726784FB-BB5C-498E-B136-6E82AF5C245C}" name="Account Name" dataDxfId="51"/>
    <tableColumn id="2" xr3:uid="{882EB99A-010A-4064-B292-87E295755B38}" name="Debit (€)" dataDxfId="48"/>
    <tableColumn id="3" xr3:uid="{87D3B990-727F-48D0-BE0E-7FBEF95E19F6}" name="Credit (€)" dataDxfId="4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2061CF2-610A-4DA1-B56C-FCA60C050CD8}" name="Table11" displayName="Table11" ref="A6:B18" totalsRowShown="0" headerRowDxfId="1" dataDxfId="2">
  <autoFilter ref="A6:B18" xr:uid="{22061CF2-610A-4DA1-B56C-FCA60C050CD8}"/>
  <tableColumns count="2">
    <tableColumn id="1" xr3:uid="{45284594-9B78-409C-A2E5-5F531EFC4B92}" name="Item" dataDxfId="4"/>
    <tableColumn id="2" xr3:uid="{276560CE-AF6C-4E55-9FFD-8534E2E51095}" name="Amount" dataDxfId="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44121F3-9249-4446-8537-59D64F92ED3A}" name="Table12" displayName="Table12" ref="A5:B21" totalsRowShown="0">
  <autoFilter ref="A5:B21" xr:uid="{744121F3-9249-4446-8537-59D64F92ED3A}"/>
  <tableColumns count="2">
    <tableColumn id="1" xr3:uid="{ABB7855E-A8FD-4DFD-AC31-9E0883D5FBC4}" name="Assets" dataDxfId="0"/>
    <tableColumn id="3" xr3:uid="{9E958D77-DB57-46B3-919E-4C89D4D924AD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C74A4-73E4-4F6F-BF4F-946C03DFDBBC}">
  <dimension ref="A2:T4"/>
  <sheetViews>
    <sheetView tabSelected="1" workbookViewId="0">
      <selection activeCell="K8" sqref="K8"/>
    </sheetView>
  </sheetViews>
  <sheetFormatPr defaultRowHeight="15" x14ac:dyDescent="0.25"/>
  <sheetData>
    <row r="2" spans="1:20" ht="21" x14ac:dyDescent="0.35">
      <c r="A2" s="24" t="s">
        <v>82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</row>
    <row r="4" spans="1:20" ht="18.75" x14ac:dyDescent="0.3">
      <c r="G4" s="23" t="s">
        <v>81</v>
      </c>
      <c r="H4" s="23"/>
      <c r="I4" s="23"/>
      <c r="J4" s="23"/>
      <c r="K4" s="23"/>
      <c r="L4" s="23"/>
      <c r="M4" s="23"/>
      <c r="N4" s="23"/>
    </row>
  </sheetData>
  <mergeCells count="2">
    <mergeCell ref="A2:T2"/>
    <mergeCell ref="G4:N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55E62-48B4-44E9-9007-26A7FE43DEC9}">
  <dimension ref="A1:K20"/>
  <sheetViews>
    <sheetView workbookViewId="0">
      <selection activeCell="B1" sqref="B1"/>
    </sheetView>
  </sheetViews>
  <sheetFormatPr defaultRowHeight="15" x14ac:dyDescent="0.25"/>
  <cols>
    <col min="1" max="1" width="17.140625" customWidth="1"/>
    <col min="2" max="2" width="30.42578125" customWidth="1"/>
    <col min="3" max="3" width="24.42578125" customWidth="1"/>
    <col min="4" max="4" width="33.140625" customWidth="1"/>
  </cols>
  <sheetData>
    <row r="1" spans="1:11" ht="18.75" x14ac:dyDescent="0.3">
      <c r="A1" s="8" t="s">
        <v>22</v>
      </c>
      <c r="B1" s="8" t="s">
        <v>23</v>
      </c>
      <c r="C1" s="1"/>
      <c r="D1" s="1"/>
    </row>
    <row r="2" spans="1:11" ht="18.75" x14ac:dyDescent="0.3">
      <c r="A2" s="9" t="s">
        <v>24</v>
      </c>
      <c r="B2" s="8" t="s">
        <v>25</v>
      </c>
      <c r="C2" s="1"/>
      <c r="D2" s="1"/>
    </row>
    <row r="3" spans="1:11" ht="18.75" x14ac:dyDescent="0.3">
      <c r="A3" s="8" t="s">
        <v>26</v>
      </c>
      <c r="B3" s="8" t="s">
        <v>27</v>
      </c>
      <c r="C3" s="1"/>
      <c r="D3" s="1"/>
    </row>
    <row r="5" spans="1:11" ht="23.25" x14ac:dyDescent="0.35">
      <c r="A5" s="7"/>
      <c r="B5" s="13" t="s">
        <v>0</v>
      </c>
      <c r="C5" s="13"/>
      <c r="D5" s="13"/>
      <c r="E5" s="7"/>
      <c r="F5" s="7"/>
      <c r="G5" s="7"/>
      <c r="H5" s="7"/>
      <c r="I5" s="7"/>
      <c r="J5" s="7"/>
      <c r="K5" s="7"/>
    </row>
    <row r="7" spans="1:11" ht="56.25" x14ac:dyDescent="0.25">
      <c r="B7" s="5" t="s">
        <v>1</v>
      </c>
      <c r="C7" s="5" t="s">
        <v>2</v>
      </c>
      <c r="D7" s="5" t="s">
        <v>21</v>
      </c>
    </row>
    <row r="8" spans="1:11" x14ac:dyDescent="0.25">
      <c r="B8" s="6">
        <v>1000</v>
      </c>
      <c r="C8" s="6" t="s">
        <v>3</v>
      </c>
      <c r="D8" s="6" t="s">
        <v>4</v>
      </c>
    </row>
    <row r="9" spans="1:11" x14ac:dyDescent="0.25">
      <c r="B9" s="6">
        <v>1100</v>
      </c>
      <c r="C9" s="6" t="s">
        <v>5</v>
      </c>
      <c r="D9" s="6" t="s">
        <v>4</v>
      </c>
    </row>
    <row r="10" spans="1:11" x14ac:dyDescent="0.25">
      <c r="B10" s="6">
        <v>1200</v>
      </c>
      <c r="C10" s="6" t="s">
        <v>6</v>
      </c>
      <c r="D10" s="6" t="s">
        <v>4</v>
      </c>
    </row>
    <row r="11" spans="1:11" x14ac:dyDescent="0.25">
      <c r="B11" s="6">
        <v>1300</v>
      </c>
      <c r="C11" s="6" t="s">
        <v>7</v>
      </c>
      <c r="D11" s="6" t="s">
        <v>4</v>
      </c>
    </row>
    <row r="12" spans="1:11" x14ac:dyDescent="0.25">
      <c r="B12" s="6">
        <v>2000</v>
      </c>
      <c r="C12" s="6" t="s">
        <v>8</v>
      </c>
      <c r="D12" s="6" t="s">
        <v>9</v>
      </c>
    </row>
    <row r="13" spans="1:11" x14ac:dyDescent="0.25">
      <c r="B13" s="6">
        <v>2100</v>
      </c>
      <c r="C13" s="6" t="s">
        <v>10</v>
      </c>
      <c r="D13" s="6" t="s">
        <v>9</v>
      </c>
    </row>
    <row r="14" spans="1:11" x14ac:dyDescent="0.25">
      <c r="B14" s="6">
        <v>3000</v>
      </c>
      <c r="C14" s="6" t="s">
        <v>11</v>
      </c>
      <c r="D14" s="6" t="s">
        <v>12</v>
      </c>
    </row>
    <row r="15" spans="1:11" x14ac:dyDescent="0.25">
      <c r="B15" s="6">
        <v>3100</v>
      </c>
      <c r="C15" s="6" t="s">
        <v>13</v>
      </c>
      <c r="D15" s="6" t="s">
        <v>12</v>
      </c>
    </row>
    <row r="16" spans="1:11" x14ac:dyDescent="0.25">
      <c r="B16" s="6">
        <v>4000</v>
      </c>
      <c r="C16" s="6" t="s">
        <v>14</v>
      </c>
      <c r="D16" s="6" t="s">
        <v>15</v>
      </c>
    </row>
    <row r="17" spans="2:4" x14ac:dyDescent="0.25">
      <c r="B17" s="6">
        <v>5000</v>
      </c>
      <c r="C17" s="6" t="s">
        <v>16</v>
      </c>
      <c r="D17" s="6" t="s">
        <v>17</v>
      </c>
    </row>
    <row r="18" spans="2:4" x14ac:dyDescent="0.25">
      <c r="B18" s="6">
        <v>5100</v>
      </c>
      <c r="C18" s="6" t="s">
        <v>18</v>
      </c>
      <c r="D18" s="6" t="s">
        <v>17</v>
      </c>
    </row>
    <row r="19" spans="2:4" x14ac:dyDescent="0.25">
      <c r="B19" s="6">
        <v>5200</v>
      </c>
      <c r="C19" s="6" t="s">
        <v>19</v>
      </c>
      <c r="D19" s="6" t="s">
        <v>17</v>
      </c>
    </row>
    <row r="20" spans="2:4" x14ac:dyDescent="0.25">
      <c r="B20" s="6">
        <v>5300</v>
      </c>
      <c r="C20" s="6" t="s">
        <v>20</v>
      </c>
      <c r="D20" s="6" t="s">
        <v>17</v>
      </c>
    </row>
  </sheetData>
  <mergeCells count="1">
    <mergeCell ref="B5:D5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AD9D6-D2C9-4FFA-9148-6AD5275D12C3}">
  <dimension ref="A2:F37"/>
  <sheetViews>
    <sheetView workbookViewId="0">
      <selection activeCell="B24" sqref="B24"/>
    </sheetView>
  </sheetViews>
  <sheetFormatPr defaultRowHeight="15" x14ac:dyDescent="0.25"/>
  <cols>
    <col min="1" max="1" width="19.85546875" customWidth="1"/>
    <col min="2" max="2" width="26.140625" customWidth="1"/>
    <col min="3" max="3" width="23.7109375" customWidth="1"/>
    <col min="4" max="4" width="20.42578125" customWidth="1"/>
    <col min="5" max="5" width="27.42578125" customWidth="1"/>
    <col min="6" max="6" width="19" customWidth="1"/>
  </cols>
  <sheetData>
    <row r="2" spans="1:6" ht="21" x14ac:dyDescent="0.35">
      <c r="A2" s="24" t="s">
        <v>60</v>
      </c>
      <c r="B2" s="24"/>
      <c r="C2" s="24"/>
      <c r="D2" s="24"/>
      <c r="E2" s="24"/>
      <c r="F2" s="24"/>
    </row>
    <row r="4" spans="1:6" x14ac:dyDescent="0.25">
      <c r="A4" s="3" t="s">
        <v>28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</row>
    <row r="5" spans="1:6" x14ac:dyDescent="0.25">
      <c r="A5" s="11">
        <v>45658</v>
      </c>
      <c r="B5" s="2" t="s">
        <v>34</v>
      </c>
      <c r="C5" s="2" t="s">
        <v>3</v>
      </c>
      <c r="D5" s="10">
        <v>10000</v>
      </c>
      <c r="E5" s="2" t="s">
        <v>11</v>
      </c>
      <c r="F5" s="10">
        <v>10000</v>
      </c>
    </row>
    <row r="6" spans="1:6" x14ac:dyDescent="0.25">
      <c r="A6" s="11">
        <v>45659</v>
      </c>
      <c r="B6" s="2" t="s">
        <v>35</v>
      </c>
      <c r="C6" s="2" t="s">
        <v>7</v>
      </c>
      <c r="D6" s="10">
        <v>2000</v>
      </c>
      <c r="E6" s="2" t="s">
        <v>3</v>
      </c>
      <c r="F6" s="10">
        <v>2000</v>
      </c>
    </row>
    <row r="7" spans="1:6" ht="30" x14ac:dyDescent="0.25">
      <c r="A7" s="11">
        <v>45660</v>
      </c>
      <c r="B7" s="2" t="s">
        <v>36</v>
      </c>
      <c r="C7" s="2" t="s">
        <v>6</v>
      </c>
      <c r="D7" s="10">
        <v>600</v>
      </c>
      <c r="E7" s="2" t="s">
        <v>3</v>
      </c>
      <c r="F7" s="10">
        <v>600</v>
      </c>
    </row>
    <row r="8" spans="1:6" x14ac:dyDescent="0.25">
      <c r="A8" s="11">
        <v>45661</v>
      </c>
      <c r="B8" s="2" t="s">
        <v>37</v>
      </c>
      <c r="C8" s="2" t="s">
        <v>16</v>
      </c>
      <c r="D8" s="10">
        <v>800</v>
      </c>
      <c r="E8" s="2" t="s">
        <v>3</v>
      </c>
      <c r="F8" s="10">
        <v>800</v>
      </c>
    </row>
    <row r="9" spans="1:6" x14ac:dyDescent="0.25">
      <c r="A9" s="11">
        <v>45662</v>
      </c>
      <c r="B9" s="2" t="s">
        <v>38</v>
      </c>
      <c r="C9" s="2" t="s">
        <v>3</v>
      </c>
      <c r="D9" s="10">
        <v>350</v>
      </c>
      <c r="E9" s="2" t="s">
        <v>14</v>
      </c>
      <c r="F9" s="10">
        <v>350</v>
      </c>
    </row>
    <row r="10" spans="1:6" x14ac:dyDescent="0.25">
      <c r="A10" s="11">
        <v>45663</v>
      </c>
      <c r="B10" s="2" t="s">
        <v>38</v>
      </c>
      <c r="C10" s="2" t="s">
        <v>3</v>
      </c>
      <c r="D10" s="10">
        <v>420</v>
      </c>
      <c r="E10" s="2" t="s">
        <v>14</v>
      </c>
      <c r="F10" s="10">
        <v>420</v>
      </c>
    </row>
    <row r="11" spans="1:6" x14ac:dyDescent="0.25">
      <c r="A11" s="11">
        <v>45664</v>
      </c>
      <c r="B11" s="2" t="s">
        <v>39</v>
      </c>
      <c r="C11" s="2" t="s">
        <v>20</v>
      </c>
      <c r="D11" s="10">
        <v>120</v>
      </c>
      <c r="E11" s="2" t="s">
        <v>3</v>
      </c>
      <c r="F11" s="10">
        <v>120</v>
      </c>
    </row>
    <row r="12" spans="1:6" x14ac:dyDescent="0.25">
      <c r="A12" s="11">
        <v>45665</v>
      </c>
      <c r="B12" s="2" t="s">
        <v>38</v>
      </c>
      <c r="C12" s="2" t="s">
        <v>3</v>
      </c>
      <c r="D12" s="10">
        <v>390</v>
      </c>
      <c r="E12" s="2" t="s">
        <v>14</v>
      </c>
      <c r="F12" s="10">
        <v>390</v>
      </c>
    </row>
    <row r="13" spans="1:6" x14ac:dyDescent="0.25">
      <c r="A13" s="11">
        <v>45666</v>
      </c>
      <c r="B13" s="2" t="s">
        <v>40</v>
      </c>
      <c r="C13" s="2" t="s">
        <v>19</v>
      </c>
      <c r="D13" s="10">
        <v>150</v>
      </c>
      <c r="E13" s="2" t="s">
        <v>3</v>
      </c>
      <c r="F13" s="10">
        <v>150</v>
      </c>
    </row>
    <row r="14" spans="1:6" x14ac:dyDescent="0.25">
      <c r="A14" s="11">
        <v>45667</v>
      </c>
      <c r="B14" s="2" t="s">
        <v>38</v>
      </c>
      <c r="C14" s="2" t="s">
        <v>3</v>
      </c>
      <c r="D14" s="10">
        <v>450</v>
      </c>
      <c r="E14" s="2" t="s">
        <v>14</v>
      </c>
      <c r="F14" s="10">
        <v>450</v>
      </c>
    </row>
    <row r="15" spans="1:6" x14ac:dyDescent="0.25">
      <c r="A15" s="11">
        <v>45668</v>
      </c>
      <c r="B15" s="2" t="s">
        <v>38</v>
      </c>
      <c r="C15" s="2" t="s">
        <v>3</v>
      </c>
      <c r="D15" s="10">
        <v>380</v>
      </c>
      <c r="E15" s="2" t="s">
        <v>14</v>
      </c>
      <c r="F15" s="10">
        <v>380</v>
      </c>
    </row>
    <row r="16" spans="1:6" ht="30" x14ac:dyDescent="0.25">
      <c r="A16" s="11">
        <v>45669</v>
      </c>
      <c r="B16" s="2" t="s">
        <v>41</v>
      </c>
      <c r="C16" s="2" t="s">
        <v>6</v>
      </c>
      <c r="D16" s="10">
        <v>500</v>
      </c>
      <c r="E16" s="2" t="s">
        <v>8</v>
      </c>
      <c r="F16" s="10">
        <v>500</v>
      </c>
    </row>
    <row r="17" spans="1:6" x14ac:dyDescent="0.25">
      <c r="A17" s="11">
        <v>45670</v>
      </c>
      <c r="B17" s="2" t="s">
        <v>38</v>
      </c>
      <c r="C17" s="2" t="s">
        <v>3</v>
      </c>
      <c r="D17" s="10">
        <v>410</v>
      </c>
      <c r="E17" s="2" t="s">
        <v>14</v>
      </c>
      <c r="F17" s="10">
        <v>410</v>
      </c>
    </row>
    <row r="18" spans="1:6" x14ac:dyDescent="0.25">
      <c r="A18" s="11">
        <v>45671</v>
      </c>
      <c r="B18" s="2" t="s">
        <v>42</v>
      </c>
      <c r="C18" s="2" t="s">
        <v>18</v>
      </c>
      <c r="D18" s="10">
        <v>900</v>
      </c>
      <c r="E18" s="2" t="s">
        <v>3</v>
      </c>
      <c r="F18" s="10">
        <v>900</v>
      </c>
    </row>
    <row r="19" spans="1:6" x14ac:dyDescent="0.25">
      <c r="A19" s="11">
        <v>45672</v>
      </c>
      <c r="B19" s="2" t="s">
        <v>38</v>
      </c>
      <c r="C19" s="2" t="s">
        <v>3</v>
      </c>
      <c r="D19" s="10">
        <v>470</v>
      </c>
      <c r="E19" s="2" t="s">
        <v>14</v>
      </c>
      <c r="F19" s="10">
        <v>470</v>
      </c>
    </row>
    <row r="20" spans="1:6" x14ac:dyDescent="0.25">
      <c r="A20" s="11">
        <v>45673</v>
      </c>
      <c r="B20" s="2" t="s">
        <v>43</v>
      </c>
      <c r="C20" s="2" t="s">
        <v>8</v>
      </c>
      <c r="D20" s="10">
        <v>500</v>
      </c>
      <c r="E20" s="2" t="s">
        <v>3</v>
      </c>
      <c r="F20" s="10">
        <v>500</v>
      </c>
    </row>
    <row r="21" spans="1:6" x14ac:dyDescent="0.25">
      <c r="A21" s="11">
        <v>45674</v>
      </c>
      <c r="B21" s="2" t="s">
        <v>38</v>
      </c>
      <c r="C21" s="2" t="s">
        <v>3</v>
      </c>
      <c r="D21" s="10">
        <v>430</v>
      </c>
      <c r="E21" s="2" t="s">
        <v>14</v>
      </c>
      <c r="F21" s="10">
        <v>430</v>
      </c>
    </row>
    <row r="22" spans="1:6" x14ac:dyDescent="0.25">
      <c r="A22" s="11">
        <v>45675</v>
      </c>
      <c r="B22" s="2" t="s">
        <v>44</v>
      </c>
      <c r="C22" s="2" t="s">
        <v>20</v>
      </c>
      <c r="D22" s="10">
        <v>90</v>
      </c>
      <c r="E22" s="2" t="s">
        <v>3</v>
      </c>
      <c r="F22" s="10">
        <v>90</v>
      </c>
    </row>
    <row r="23" spans="1:6" x14ac:dyDescent="0.25">
      <c r="A23" s="11">
        <v>45676</v>
      </c>
      <c r="B23" s="2" t="s">
        <v>38</v>
      </c>
      <c r="C23" s="2" t="s">
        <v>3</v>
      </c>
      <c r="D23" s="10">
        <v>460</v>
      </c>
      <c r="E23" s="2" t="s">
        <v>14</v>
      </c>
      <c r="F23" s="10">
        <v>460</v>
      </c>
    </row>
    <row r="24" spans="1:6" x14ac:dyDescent="0.25">
      <c r="A24" s="11">
        <v>45677</v>
      </c>
      <c r="B24" s="2" t="s">
        <v>38</v>
      </c>
      <c r="C24" s="2" t="s">
        <v>3</v>
      </c>
      <c r="D24" s="10">
        <v>410</v>
      </c>
      <c r="E24" s="2" t="s">
        <v>14</v>
      </c>
      <c r="F24" s="10">
        <v>410</v>
      </c>
    </row>
    <row r="25" spans="1:6" x14ac:dyDescent="0.25">
      <c r="A25" s="11">
        <v>45678</v>
      </c>
      <c r="B25" s="2" t="s">
        <v>45</v>
      </c>
      <c r="C25" s="2" t="s">
        <v>19</v>
      </c>
      <c r="D25" s="10">
        <v>80</v>
      </c>
      <c r="E25" s="2" t="s">
        <v>3</v>
      </c>
      <c r="F25" s="10">
        <v>80</v>
      </c>
    </row>
    <row r="26" spans="1:6" x14ac:dyDescent="0.25">
      <c r="A26" s="11">
        <v>45679</v>
      </c>
      <c r="B26" s="2" t="s">
        <v>38</v>
      </c>
      <c r="C26" s="2" t="s">
        <v>3</v>
      </c>
      <c r="D26" s="10">
        <v>440</v>
      </c>
      <c r="E26" s="2" t="s">
        <v>14</v>
      </c>
      <c r="F26" s="10">
        <v>440</v>
      </c>
    </row>
    <row r="27" spans="1:6" x14ac:dyDescent="0.25">
      <c r="A27" s="11">
        <v>45680</v>
      </c>
      <c r="B27" s="2" t="s">
        <v>38</v>
      </c>
      <c r="C27" s="2" t="s">
        <v>3</v>
      </c>
      <c r="D27" s="10">
        <v>390</v>
      </c>
      <c r="E27" s="2" t="s">
        <v>14</v>
      </c>
      <c r="F27" s="10">
        <v>390</v>
      </c>
    </row>
    <row r="28" spans="1:6" x14ac:dyDescent="0.25">
      <c r="A28" s="11">
        <v>45681</v>
      </c>
      <c r="B28" s="2" t="s">
        <v>46</v>
      </c>
      <c r="C28" s="2" t="s">
        <v>13</v>
      </c>
      <c r="D28" s="10">
        <v>300</v>
      </c>
      <c r="E28" s="2" t="s">
        <v>3</v>
      </c>
      <c r="F28" s="10">
        <v>300</v>
      </c>
    </row>
    <row r="29" spans="1:6" x14ac:dyDescent="0.25">
      <c r="A29" s="11">
        <v>45682</v>
      </c>
      <c r="B29" s="2" t="s">
        <v>38</v>
      </c>
      <c r="C29" s="2" t="s">
        <v>3</v>
      </c>
      <c r="D29" s="10">
        <v>420</v>
      </c>
      <c r="E29" s="2" t="s">
        <v>14</v>
      </c>
      <c r="F29" s="10">
        <v>420</v>
      </c>
    </row>
    <row r="30" spans="1:6" x14ac:dyDescent="0.25">
      <c r="A30" s="11">
        <v>45683</v>
      </c>
      <c r="B30" s="2" t="s">
        <v>38</v>
      </c>
      <c r="C30" s="2" t="s">
        <v>3</v>
      </c>
      <c r="D30" s="10">
        <v>460</v>
      </c>
      <c r="E30" s="2" t="s">
        <v>14</v>
      </c>
      <c r="F30" s="10">
        <v>460</v>
      </c>
    </row>
    <row r="31" spans="1:6" x14ac:dyDescent="0.25">
      <c r="A31" s="11">
        <v>45684</v>
      </c>
      <c r="B31" s="2" t="s">
        <v>47</v>
      </c>
      <c r="C31" s="2" t="s">
        <v>6</v>
      </c>
      <c r="D31" s="10">
        <v>350</v>
      </c>
      <c r="E31" s="2" t="s">
        <v>3</v>
      </c>
      <c r="F31" s="10">
        <v>350</v>
      </c>
    </row>
    <row r="32" spans="1:6" x14ac:dyDescent="0.25">
      <c r="A32" s="11">
        <v>45685</v>
      </c>
      <c r="B32" s="2" t="s">
        <v>38</v>
      </c>
      <c r="C32" s="2" t="s">
        <v>3</v>
      </c>
      <c r="D32" s="10">
        <v>430</v>
      </c>
      <c r="E32" s="2" t="s">
        <v>14</v>
      </c>
      <c r="F32" s="10">
        <v>430</v>
      </c>
    </row>
    <row r="33" spans="1:6" x14ac:dyDescent="0.25">
      <c r="A33" s="11">
        <v>45686</v>
      </c>
      <c r="B33" s="2" t="s">
        <v>38</v>
      </c>
      <c r="C33" s="2" t="s">
        <v>3</v>
      </c>
      <c r="D33" s="10">
        <v>400</v>
      </c>
      <c r="E33" s="2" t="s">
        <v>14</v>
      </c>
      <c r="F33" s="10">
        <v>400</v>
      </c>
    </row>
    <row r="34" spans="1:6" x14ac:dyDescent="0.25">
      <c r="A34" s="11">
        <v>45687</v>
      </c>
      <c r="B34" s="2" t="s">
        <v>38</v>
      </c>
      <c r="C34" s="2" t="s">
        <v>3</v>
      </c>
      <c r="D34" s="10">
        <v>480</v>
      </c>
      <c r="E34" s="2" t="s">
        <v>14</v>
      </c>
      <c r="F34" s="10">
        <v>480</v>
      </c>
    </row>
    <row r="35" spans="1:6" x14ac:dyDescent="0.25">
      <c r="A35" s="11"/>
      <c r="B35" s="2"/>
      <c r="C35" s="2"/>
      <c r="D35" s="10"/>
      <c r="E35" s="2"/>
      <c r="F35" s="10"/>
    </row>
    <row r="36" spans="1:6" x14ac:dyDescent="0.25">
      <c r="A36" s="11"/>
      <c r="B36" s="2"/>
      <c r="C36" s="2"/>
      <c r="D36" s="10"/>
      <c r="E36" s="2"/>
      <c r="F36" s="10"/>
    </row>
    <row r="37" spans="1:6" x14ac:dyDescent="0.25">
      <c r="A37" s="11"/>
      <c r="B37" s="2"/>
      <c r="C37" s="2"/>
      <c r="D37" s="10"/>
      <c r="E37" s="2"/>
      <c r="F37" s="10"/>
    </row>
  </sheetData>
  <mergeCells count="1">
    <mergeCell ref="A2:F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C1E97-9336-4D50-9143-81D39B25DF16}">
  <dimension ref="A1:Q40"/>
  <sheetViews>
    <sheetView topLeftCell="J25" zoomScale="98" workbookViewId="0">
      <selection activeCell="C19" sqref="C19"/>
    </sheetView>
  </sheetViews>
  <sheetFormatPr defaultRowHeight="15" x14ac:dyDescent="0.25"/>
  <cols>
    <col min="2" max="2" width="22.5703125" customWidth="1"/>
    <col min="3" max="3" width="12.140625" customWidth="1"/>
    <col min="4" max="4" width="16.85546875" customWidth="1"/>
    <col min="5" max="5" width="14.28515625" customWidth="1"/>
    <col min="6" max="6" width="6.85546875" customWidth="1"/>
    <col min="7" max="7" width="15" customWidth="1"/>
    <col min="8" max="8" width="16.28515625" customWidth="1"/>
    <col min="9" max="9" width="16.85546875" customWidth="1"/>
    <col min="10" max="10" width="14.5703125" customWidth="1"/>
    <col min="11" max="11" width="17" customWidth="1"/>
    <col min="12" max="12" width="11.5703125" customWidth="1"/>
    <col min="13" max="13" width="12.5703125" customWidth="1"/>
    <col min="14" max="14" width="27.42578125" customWidth="1"/>
    <col min="15" max="15" width="18" customWidth="1"/>
    <col min="16" max="16" width="17.28515625" customWidth="1"/>
    <col min="17" max="17" width="15.140625" customWidth="1"/>
    <col min="20" max="20" width="13.140625" customWidth="1"/>
    <col min="21" max="21" width="21.7109375" customWidth="1"/>
    <col min="22" max="22" width="15.85546875" customWidth="1"/>
    <col min="23" max="23" width="13.7109375" customWidth="1"/>
    <col min="24" max="24" width="14.28515625" customWidth="1"/>
  </cols>
  <sheetData>
    <row r="1" spans="1:17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15.75" x14ac:dyDescent="0.25">
      <c r="A2" s="12" t="s">
        <v>55</v>
      </c>
      <c r="B2" s="12"/>
      <c r="C2" s="12"/>
      <c r="D2" s="12"/>
      <c r="E2" s="12"/>
      <c r="F2" s="16"/>
      <c r="G2" s="12" t="s">
        <v>56</v>
      </c>
      <c r="H2" s="12"/>
      <c r="I2" s="12"/>
      <c r="J2" s="12"/>
      <c r="K2" s="12"/>
      <c r="L2" s="16"/>
      <c r="M2" s="16"/>
      <c r="N2" s="12" t="s">
        <v>54</v>
      </c>
      <c r="O2" s="12"/>
      <c r="P2" s="12"/>
      <c r="Q2" s="16"/>
    </row>
    <row r="3" spans="1:17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</row>
    <row r="4" spans="1:17" x14ac:dyDescent="0.25">
      <c r="A4" s="3" t="s">
        <v>28</v>
      </c>
      <c r="B4" s="3" t="s">
        <v>29</v>
      </c>
      <c r="C4" s="3" t="s">
        <v>31</v>
      </c>
      <c r="D4" s="3" t="s">
        <v>33</v>
      </c>
      <c r="E4" s="3" t="s">
        <v>48</v>
      </c>
      <c r="F4" s="16"/>
      <c r="G4" s="16" t="s">
        <v>28</v>
      </c>
      <c r="H4" s="16" t="s">
        <v>29</v>
      </c>
      <c r="I4" s="16" t="s">
        <v>31</v>
      </c>
      <c r="J4" s="16" t="s">
        <v>32</v>
      </c>
      <c r="K4" s="16" t="s">
        <v>48</v>
      </c>
      <c r="L4" s="16"/>
      <c r="M4" s="16" t="s">
        <v>28</v>
      </c>
      <c r="N4" s="16" t="s">
        <v>29</v>
      </c>
      <c r="O4" s="16" t="s">
        <v>31</v>
      </c>
      <c r="P4" s="16" t="s">
        <v>32</v>
      </c>
      <c r="Q4" s="16" t="s">
        <v>48</v>
      </c>
    </row>
    <row r="5" spans="1:17" ht="30" x14ac:dyDescent="0.25">
      <c r="A5" s="25">
        <v>45658</v>
      </c>
      <c r="B5" s="26" t="s">
        <v>49</v>
      </c>
      <c r="C5" s="27">
        <v>10000</v>
      </c>
      <c r="D5" s="27"/>
      <c r="E5" s="27">
        <v>10000</v>
      </c>
      <c r="F5" s="16"/>
      <c r="G5" s="14">
        <v>45662</v>
      </c>
      <c r="H5" s="15" t="s">
        <v>38</v>
      </c>
      <c r="I5" s="16"/>
      <c r="J5" s="20">
        <v>350</v>
      </c>
      <c r="K5" s="20">
        <v>350</v>
      </c>
      <c r="L5" s="16"/>
      <c r="M5" s="14">
        <v>45660</v>
      </c>
      <c r="N5" s="15" t="s">
        <v>36</v>
      </c>
      <c r="O5" s="20">
        <v>600</v>
      </c>
      <c r="P5" s="16"/>
      <c r="Q5" s="20">
        <v>600</v>
      </c>
    </row>
    <row r="6" spans="1:17" ht="16.5" customHeight="1" x14ac:dyDescent="0.25">
      <c r="A6" s="25">
        <v>45659</v>
      </c>
      <c r="B6" s="26" t="s">
        <v>35</v>
      </c>
      <c r="C6" s="27"/>
      <c r="D6" s="27">
        <v>2000</v>
      </c>
      <c r="E6" s="27">
        <f>E5-Table3[[#This Row],[Credit (€)]]</f>
        <v>8000</v>
      </c>
      <c r="F6" s="16"/>
      <c r="G6" s="14">
        <v>45663</v>
      </c>
      <c r="H6" s="15" t="s">
        <v>38</v>
      </c>
      <c r="I6" s="16"/>
      <c r="J6" s="20">
        <v>420</v>
      </c>
      <c r="K6" s="20">
        <f>K5+Table35[[#This Row],[Credit Account]]</f>
        <v>770</v>
      </c>
      <c r="L6" s="16"/>
      <c r="M6" s="14">
        <v>45669</v>
      </c>
      <c r="N6" s="15" t="s">
        <v>41</v>
      </c>
      <c r="O6" s="20">
        <v>500</v>
      </c>
      <c r="P6" s="16"/>
      <c r="Q6" s="20">
        <f>Q5+Table36[[#This Row],[Debit (€)]]</f>
        <v>1100</v>
      </c>
    </row>
    <row r="7" spans="1:17" x14ac:dyDescent="0.25">
      <c r="A7" s="25">
        <v>45660</v>
      </c>
      <c r="B7" s="26" t="s">
        <v>59</v>
      </c>
      <c r="C7" s="27"/>
      <c r="D7" s="27">
        <v>600</v>
      </c>
      <c r="E7" s="27">
        <f>E6+Table3[[#This Row],[Debit (€)]]-Table3[[#This Row],[Credit (€)]]</f>
        <v>7400</v>
      </c>
      <c r="F7" s="16"/>
      <c r="G7" s="14">
        <v>45665</v>
      </c>
      <c r="H7" s="15" t="s">
        <v>38</v>
      </c>
      <c r="I7" s="16"/>
      <c r="J7" s="20">
        <v>390</v>
      </c>
      <c r="K7" s="20">
        <f>K6+Table35[[#This Row],[Credit Account]]</f>
        <v>1160</v>
      </c>
      <c r="L7" s="16"/>
      <c r="M7" s="14">
        <v>45684</v>
      </c>
      <c r="N7" s="15" t="s">
        <v>47</v>
      </c>
      <c r="O7" s="20">
        <v>350</v>
      </c>
      <c r="P7" s="16"/>
      <c r="Q7" s="28">
        <f>Q6+Table36[[#This Row],[Debit (€)]]</f>
        <v>1450</v>
      </c>
    </row>
    <row r="8" spans="1:17" x14ac:dyDescent="0.25">
      <c r="A8" s="25">
        <v>45661</v>
      </c>
      <c r="B8" s="26" t="s">
        <v>50</v>
      </c>
      <c r="C8" s="27"/>
      <c r="D8" s="27">
        <v>800</v>
      </c>
      <c r="E8" s="27">
        <f>E7+Table3[[#This Row],[Debit (€)]]-Table3[[#This Row],[Credit (€)]]</f>
        <v>6600</v>
      </c>
      <c r="F8" s="16"/>
      <c r="G8" s="14">
        <v>45667</v>
      </c>
      <c r="H8" s="15" t="s">
        <v>38</v>
      </c>
      <c r="I8" s="16"/>
      <c r="J8" s="20">
        <v>450</v>
      </c>
      <c r="K8" s="20">
        <f>K7+Table35[[#This Row],[Credit Account]]</f>
        <v>1610</v>
      </c>
      <c r="L8" s="16"/>
      <c r="M8" s="16"/>
      <c r="N8" s="16"/>
      <c r="O8" s="16"/>
      <c r="P8" s="16"/>
      <c r="Q8" s="16"/>
    </row>
    <row r="9" spans="1:17" x14ac:dyDescent="0.25">
      <c r="A9" s="25">
        <v>45662</v>
      </c>
      <c r="B9" s="26" t="s">
        <v>38</v>
      </c>
      <c r="C9" s="27">
        <v>350</v>
      </c>
      <c r="D9" s="27"/>
      <c r="E9" s="27">
        <f>E8+Table3[[#This Row],[Debit (€)]]-Table3[[#This Row],[Credit (€)]]</f>
        <v>6950</v>
      </c>
      <c r="F9" s="16"/>
      <c r="G9" s="14">
        <v>45668</v>
      </c>
      <c r="H9" s="15" t="s">
        <v>38</v>
      </c>
      <c r="I9" s="16"/>
      <c r="J9" s="20">
        <v>380</v>
      </c>
      <c r="K9" s="20">
        <f>K8+Table35[[#This Row],[Credit Account]]</f>
        <v>1990</v>
      </c>
      <c r="L9" s="16"/>
      <c r="M9" s="16"/>
      <c r="N9" s="16"/>
      <c r="O9" s="16"/>
      <c r="P9" s="16"/>
      <c r="Q9" s="16"/>
    </row>
    <row r="10" spans="1:17" x14ac:dyDescent="0.25">
      <c r="A10" s="25">
        <v>45663</v>
      </c>
      <c r="B10" s="26" t="s">
        <v>38</v>
      </c>
      <c r="C10" s="27">
        <v>420</v>
      </c>
      <c r="D10" s="27"/>
      <c r="E10" s="27">
        <f>E9+Table3[[#This Row],[Debit (€)]]-Table3[[#This Row],[Credit (€)]]</f>
        <v>7370</v>
      </c>
      <c r="F10" s="16"/>
      <c r="G10" s="14">
        <v>45670</v>
      </c>
      <c r="H10" s="15" t="s">
        <v>38</v>
      </c>
      <c r="I10" s="16"/>
      <c r="J10" s="20">
        <v>410</v>
      </c>
      <c r="K10" s="20">
        <f>K9+Table35[[#This Row],[Credit Account]]</f>
        <v>2400</v>
      </c>
      <c r="L10" s="16"/>
      <c r="M10" s="16"/>
      <c r="N10" s="16"/>
      <c r="O10" s="16"/>
      <c r="P10" s="16"/>
      <c r="Q10" s="16"/>
    </row>
    <row r="11" spans="1:17" x14ac:dyDescent="0.25">
      <c r="A11" s="25">
        <v>45664</v>
      </c>
      <c r="B11" s="26" t="s">
        <v>39</v>
      </c>
      <c r="C11" s="27"/>
      <c r="D11" s="27">
        <v>120</v>
      </c>
      <c r="E11" s="27">
        <f>E10+Table3[[#This Row],[Debit (€)]]-Table3[[#This Row],[Credit (€)]]</f>
        <v>7250</v>
      </c>
      <c r="F11" s="16"/>
      <c r="G11" s="14">
        <v>45672</v>
      </c>
      <c r="H11" s="15" t="s">
        <v>38</v>
      </c>
      <c r="I11" s="16"/>
      <c r="J11" s="20">
        <v>470</v>
      </c>
      <c r="K11" s="20">
        <f>K10+Table35[[#This Row],[Credit Account]]</f>
        <v>2870</v>
      </c>
      <c r="L11" s="16"/>
      <c r="M11" s="16"/>
      <c r="N11" s="16"/>
      <c r="O11" s="16"/>
      <c r="P11" s="16"/>
      <c r="Q11" s="16"/>
    </row>
    <row r="12" spans="1:17" ht="15.75" x14ac:dyDescent="0.25">
      <c r="A12" s="25">
        <v>45665</v>
      </c>
      <c r="B12" s="26" t="s">
        <v>38</v>
      </c>
      <c r="C12" s="27">
        <v>390</v>
      </c>
      <c r="D12" s="27"/>
      <c r="E12" s="27">
        <f>E11+Table3[[#This Row],[Debit (€)]]-Table3[[#This Row],[Credit (€)]]</f>
        <v>7640</v>
      </c>
      <c r="F12" s="16"/>
      <c r="G12" s="14">
        <v>45674</v>
      </c>
      <c r="H12" s="15" t="s">
        <v>38</v>
      </c>
      <c r="I12" s="16"/>
      <c r="J12" s="20">
        <v>430</v>
      </c>
      <c r="K12" s="20">
        <f>K11+Table35[[#This Row],[Credit Account]]</f>
        <v>3300</v>
      </c>
      <c r="L12" s="16"/>
      <c r="M12" s="16"/>
      <c r="N12" s="12" t="s">
        <v>52</v>
      </c>
      <c r="O12" s="12"/>
      <c r="P12" s="12"/>
      <c r="Q12" s="16"/>
    </row>
    <row r="13" spans="1:17" x14ac:dyDescent="0.25">
      <c r="A13" s="25">
        <v>45666</v>
      </c>
      <c r="B13" s="26" t="s">
        <v>40</v>
      </c>
      <c r="C13" s="27"/>
      <c r="D13" s="27">
        <v>150</v>
      </c>
      <c r="E13" s="27">
        <f>E12+Table3[[#This Row],[Debit (€)]]-Table3[[#This Row],[Credit (€)]]</f>
        <v>7490</v>
      </c>
      <c r="F13" s="16"/>
      <c r="G13" s="14">
        <v>45676</v>
      </c>
      <c r="H13" s="15" t="s">
        <v>38</v>
      </c>
      <c r="I13" s="16"/>
      <c r="J13" s="20">
        <v>460</v>
      </c>
      <c r="K13" s="20">
        <f>K12+Table35[[#This Row],[Credit Account]]</f>
        <v>3760</v>
      </c>
      <c r="L13" s="16"/>
      <c r="M13" s="16"/>
      <c r="N13" s="16"/>
      <c r="O13" s="16"/>
      <c r="P13" s="16"/>
      <c r="Q13" s="16"/>
    </row>
    <row r="14" spans="1:17" x14ac:dyDescent="0.25">
      <c r="A14" s="25">
        <v>45667</v>
      </c>
      <c r="B14" s="26" t="s">
        <v>38</v>
      </c>
      <c r="C14" s="27">
        <v>450</v>
      </c>
      <c r="D14" s="27"/>
      <c r="E14" s="27">
        <f>E13+Table3[[#This Row],[Debit (€)]]-Table3[[#This Row],[Credit (€)]]</f>
        <v>7940</v>
      </c>
      <c r="F14" s="16"/>
      <c r="G14" s="14">
        <v>45677</v>
      </c>
      <c r="H14" s="15" t="s">
        <v>38</v>
      </c>
      <c r="I14" s="16"/>
      <c r="J14" s="20">
        <v>410</v>
      </c>
      <c r="K14" s="20">
        <f>K13+Table35[[#This Row],[Credit Account]]</f>
        <v>4170</v>
      </c>
      <c r="L14" s="16"/>
      <c r="M14" s="16" t="s">
        <v>28</v>
      </c>
      <c r="N14" s="16" t="s">
        <v>29</v>
      </c>
      <c r="O14" s="16" t="s">
        <v>31</v>
      </c>
      <c r="P14" s="16" t="s">
        <v>32</v>
      </c>
      <c r="Q14" s="16" t="s">
        <v>48</v>
      </c>
    </row>
    <row r="15" spans="1:17" ht="17.25" customHeight="1" x14ac:dyDescent="0.25">
      <c r="A15" s="25">
        <v>45668</v>
      </c>
      <c r="B15" s="26" t="s">
        <v>38</v>
      </c>
      <c r="C15" s="27">
        <v>380</v>
      </c>
      <c r="D15" s="27"/>
      <c r="E15" s="27">
        <f>E14+Table3[[#This Row],[Debit (€)]]-Table3[[#This Row],[Credit (€)]]</f>
        <v>8320</v>
      </c>
      <c r="F15" s="16"/>
      <c r="G15" s="14">
        <v>45679</v>
      </c>
      <c r="H15" s="15" t="s">
        <v>38</v>
      </c>
      <c r="I15" s="16"/>
      <c r="J15" s="20">
        <v>440</v>
      </c>
      <c r="K15" s="20">
        <f>K14+Table35[[#This Row],[Credit Account]]</f>
        <v>4610</v>
      </c>
      <c r="L15" s="16"/>
      <c r="M15" s="14">
        <v>45669</v>
      </c>
      <c r="N15" s="15" t="s">
        <v>41</v>
      </c>
      <c r="O15" s="20"/>
      <c r="P15" s="20">
        <v>500</v>
      </c>
      <c r="Q15" s="29">
        <v>500</v>
      </c>
    </row>
    <row r="16" spans="1:17" x14ac:dyDescent="0.25">
      <c r="A16" s="25">
        <v>45670</v>
      </c>
      <c r="B16" s="26" t="s">
        <v>38</v>
      </c>
      <c r="C16" s="27">
        <v>410</v>
      </c>
      <c r="D16" s="27"/>
      <c r="E16" s="27">
        <f>E15+Table3[[#This Row],[Debit (€)]]-Table3[[#This Row],[Credit (€)]]</f>
        <v>8730</v>
      </c>
      <c r="F16" s="16"/>
      <c r="G16" s="14">
        <v>45680</v>
      </c>
      <c r="H16" s="15" t="s">
        <v>38</v>
      </c>
      <c r="I16" s="16"/>
      <c r="J16" s="20">
        <v>390</v>
      </c>
      <c r="K16" s="20">
        <f>K15+Table35[[#This Row],[Credit Account]]</f>
        <v>5000</v>
      </c>
      <c r="L16" s="16"/>
      <c r="M16" s="14">
        <v>45673</v>
      </c>
      <c r="N16" s="15" t="s">
        <v>43</v>
      </c>
      <c r="O16" s="20">
        <v>500</v>
      </c>
      <c r="P16" s="20"/>
      <c r="Q16" s="28">
        <f>Q15-Table378[[#This Row],[Debit (€)]]</f>
        <v>0</v>
      </c>
    </row>
    <row r="17" spans="1:17" x14ac:dyDescent="0.25">
      <c r="A17" s="25">
        <v>45671</v>
      </c>
      <c r="B17" s="26" t="s">
        <v>42</v>
      </c>
      <c r="C17" s="27"/>
      <c r="D17" s="27">
        <v>900</v>
      </c>
      <c r="E17" s="27">
        <f>E16+Table3[[#This Row],[Debit (€)]]-Table3[[#This Row],[Credit (€)]]</f>
        <v>7830</v>
      </c>
      <c r="F17" s="16"/>
      <c r="G17" s="14">
        <v>45682</v>
      </c>
      <c r="H17" s="15" t="s">
        <v>38</v>
      </c>
      <c r="I17" s="16"/>
      <c r="J17" s="20">
        <v>420</v>
      </c>
      <c r="K17" s="20">
        <f>K16+Table35[[#This Row],[Credit Account]]</f>
        <v>5420</v>
      </c>
      <c r="L17" s="16"/>
      <c r="M17" s="16"/>
      <c r="N17" s="16"/>
      <c r="O17" s="20"/>
      <c r="P17" s="20"/>
      <c r="Q17" s="20"/>
    </row>
    <row r="18" spans="1:17" x14ac:dyDescent="0.25">
      <c r="A18" s="25">
        <v>45672</v>
      </c>
      <c r="B18" s="26" t="s">
        <v>38</v>
      </c>
      <c r="C18" s="27">
        <v>470</v>
      </c>
      <c r="D18" s="27"/>
      <c r="E18" s="27">
        <f>E17+Table3[[#This Row],[Debit (€)]]-Table3[[#This Row],[Credit (€)]]</f>
        <v>8300</v>
      </c>
      <c r="F18" s="16"/>
      <c r="G18" s="14">
        <v>45683</v>
      </c>
      <c r="H18" s="15" t="s">
        <v>38</v>
      </c>
      <c r="I18" s="16"/>
      <c r="J18" s="20">
        <v>460</v>
      </c>
      <c r="K18" s="20">
        <f>K17+Table35[[#This Row],[Credit Account]]</f>
        <v>5880</v>
      </c>
      <c r="L18" s="16"/>
      <c r="M18" s="16"/>
      <c r="N18" s="16"/>
      <c r="O18" s="16"/>
      <c r="P18" s="16"/>
      <c r="Q18" s="16"/>
    </row>
    <row r="19" spans="1:17" ht="15.75" x14ac:dyDescent="0.25">
      <c r="A19" s="25">
        <v>45673</v>
      </c>
      <c r="B19" s="26" t="s">
        <v>43</v>
      </c>
      <c r="C19" s="27"/>
      <c r="D19" s="27">
        <v>500</v>
      </c>
      <c r="E19" s="27">
        <f>E18+Table3[[#This Row],[Debit (€)]]-Table3[[#This Row],[Credit (€)]]</f>
        <v>7800</v>
      </c>
      <c r="F19" s="16"/>
      <c r="G19" s="14">
        <v>45685</v>
      </c>
      <c r="H19" s="15" t="s">
        <v>38</v>
      </c>
      <c r="I19" s="16"/>
      <c r="J19" s="20">
        <v>430</v>
      </c>
      <c r="K19" s="20">
        <f>K18+Table35[[#This Row],[Credit Account]]</f>
        <v>6310</v>
      </c>
      <c r="L19" s="16"/>
      <c r="M19" s="12" t="s">
        <v>51</v>
      </c>
      <c r="N19" s="12"/>
      <c r="O19" s="12"/>
      <c r="P19" s="12"/>
      <c r="Q19" s="12"/>
    </row>
    <row r="20" spans="1:17" x14ac:dyDescent="0.25">
      <c r="A20" s="25">
        <v>45674</v>
      </c>
      <c r="B20" s="26" t="s">
        <v>38</v>
      </c>
      <c r="C20" s="27">
        <v>430</v>
      </c>
      <c r="D20" s="27"/>
      <c r="E20" s="27">
        <f>E19+Table3[[#This Row],[Debit (€)]]-Table3[[#This Row],[Credit (€)]]</f>
        <v>8230</v>
      </c>
      <c r="F20" s="16"/>
      <c r="G20" s="14">
        <v>45686</v>
      </c>
      <c r="H20" s="15" t="s">
        <v>38</v>
      </c>
      <c r="I20" s="16"/>
      <c r="J20" s="20">
        <v>400</v>
      </c>
      <c r="K20" s="20">
        <f>K19+Table35[[#This Row],[Credit Account]]</f>
        <v>6710</v>
      </c>
      <c r="L20" s="16"/>
      <c r="M20" s="16"/>
      <c r="N20" s="16"/>
      <c r="O20" s="16"/>
      <c r="P20" s="16"/>
      <c r="Q20" s="16"/>
    </row>
    <row r="21" spans="1:17" ht="30" x14ac:dyDescent="0.25">
      <c r="A21" s="25">
        <v>45675</v>
      </c>
      <c r="B21" s="26" t="s">
        <v>44</v>
      </c>
      <c r="C21" s="27"/>
      <c r="D21" s="27">
        <v>90</v>
      </c>
      <c r="E21" s="27">
        <f>E20+Table3[[#This Row],[Debit (€)]]-Table3[[#This Row],[Credit (€)]]</f>
        <v>8140</v>
      </c>
      <c r="F21" s="16"/>
      <c r="G21" s="14">
        <v>45687</v>
      </c>
      <c r="H21" s="15" t="s">
        <v>38</v>
      </c>
      <c r="I21" s="16"/>
      <c r="J21" s="20">
        <v>480</v>
      </c>
      <c r="K21" s="28">
        <f>K20+Table35[[#This Row],[Credit Account]]</f>
        <v>7190</v>
      </c>
      <c r="L21" s="16"/>
      <c r="M21" s="16" t="s">
        <v>28</v>
      </c>
      <c r="N21" s="16" t="s">
        <v>29</v>
      </c>
      <c r="O21" s="16" t="s">
        <v>31</v>
      </c>
      <c r="P21" s="16" t="s">
        <v>32</v>
      </c>
      <c r="Q21" s="16" t="s">
        <v>48</v>
      </c>
    </row>
    <row r="22" spans="1:17" x14ac:dyDescent="0.25">
      <c r="A22" s="25">
        <v>45676</v>
      </c>
      <c r="B22" s="26" t="s">
        <v>38</v>
      </c>
      <c r="C22" s="27">
        <v>460</v>
      </c>
      <c r="D22" s="27"/>
      <c r="E22" s="27">
        <f>E21+Table3[[#This Row],[Debit (€)]]-Table3[[#This Row],[Credit (€)]]</f>
        <v>8600</v>
      </c>
      <c r="F22" s="16"/>
      <c r="G22" s="16"/>
      <c r="H22" s="16"/>
      <c r="I22" s="16"/>
      <c r="J22" s="16"/>
      <c r="K22" s="16"/>
      <c r="L22" s="16"/>
      <c r="M22" s="14">
        <v>45659</v>
      </c>
      <c r="N22" s="15" t="s">
        <v>35</v>
      </c>
      <c r="O22" s="20">
        <v>2000</v>
      </c>
      <c r="P22" s="20"/>
      <c r="Q22" s="28">
        <v>2000</v>
      </c>
    </row>
    <row r="23" spans="1:17" x14ac:dyDescent="0.25">
      <c r="A23" s="25">
        <v>45677</v>
      </c>
      <c r="B23" s="26" t="s">
        <v>38</v>
      </c>
      <c r="C23" s="27">
        <v>410</v>
      </c>
      <c r="D23" s="27"/>
      <c r="E23" s="27">
        <f>E22+Table3[[#This Row],[Debit (€)]]-Table3[[#This Row],[Credit (€)]]</f>
        <v>9010</v>
      </c>
      <c r="F23" s="16"/>
      <c r="G23" s="16"/>
      <c r="H23" s="16"/>
      <c r="I23" s="16"/>
      <c r="J23" s="16"/>
      <c r="K23" s="16"/>
      <c r="L23" s="16"/>
      <c r="M23" s="16"/>
      <c r="N23" s="16"/>
      <c r="O23" s="20"/>
      <c r="P23" s="20"/>
      <c r="Q23" s="20"/>
    </row>
    <row r="24" spans="1:17" x14ac:dyDescent="0.25">
      <c r="A24" s="25">
        <v>45678</v>
      </c>
      <c r="B24" s="26" t="s">
        <v>45</v>
      </c>
      <c r="C24" s="27"/>
      <c r="D24" s="27">
        <v>80</v>
      </c>
      <c r="E24" s="27">
        <f>E23+Table3[[#This Row],[Debit (€)]]-Table3[[#This Row],[Credit (€)]]</f>
        <v>8930</v>
      </c>
      <c r="F24" s="16"/>
      <c r="G24" s="16"/>
      <c r="H24" s="16"/>
      <c r="I24" s="16"/>
      <c r="J24" s="16"/>
      <c r="K24" s="16"/>
      <c r="L24" s="16"/>
      <c r="M24" s="16"/>
      <c r="N24" s="16"/>
      <c r="O24" s="20"/>
      <c r="P24" s="20"/>
      <c r="Q24" s="20"/>
    </row>
    <row r="25" spans="1:17" x14ac:dyDescent="0.25">
      <c r="A25" s="25">
        <v>45679</v>
      </c>
      <c r="B25" s="26" t="s">
        <v>38</v>
      </c>
      <c r="C25" s="27">
        <v>440</v>
      </c>
      <c r="D25" s="27"/>
      <c r="E25" s="27">
        <f>E24+Table3[[#This Row],[Debit (€)]]-Table3[[#This Row],[Credit (€)]]</f>
        <v>9370</v>
      </c>
      <c r="F25" s="16"/>
      <c r="G25" s="16"/>
      <c r="H25" s="16"/>
      <c r="I25" s="16"/>
      <c r="J25" s="16"/>
      <c r="K25" s="16"/>
      <c r="L25" s="16"/>
      <c r="M25" s="16"/>
      <c r="N25" s="16"/>
      <c r="O25" s="20"/>
      <c r="P25" s="20"/>
      <c r="Q25" s="20"/>
    </row>
    <row r="26" spans="1:17" x14ac:dyDescent="0.25">
      <c r="A26" s="25">
        <v>45680</v>
      </c>
      <c r="B26" s="26" t="s">
        <v>38</v>
      </c>
      <c r="C26" s="27">
        <v>390</v>
      </c>
      <c r="D26" s="27"/>
      <c r="E26" s="27">
        <f>E25+Table3[[#This Row],[Debit (€)]]-Table3[[#This Row],[Credit (€)]]</f>
        <v>9760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</row>
    <row r="27" spans="1:17" ht="15.75" x14ac:dyDescent="0.25">
      <c r="A27" s="30">
        <v>45681</v>
      </c>
      <c r="B27" s="31" t="s">
        <v>46</v>
      </c>
      <c r="C27" s="27"/>
      <c r="D27" s="32">
        <v>300</v>
      </c>
      <c r="E27" s="27">
        <f>E26+Table3[[#This Row],[Debit (€)]]-Table3[[#This Row],[Credit (€)]]</f>
        <v>9460</v>
      </c>
      <c r="F27" s="16"/>
      <c r="G27" s="16"/>
      <c r="H27" s="16"/>
      <c r="I27" s="16"/>
      <c r="J27" s="16"/>
      <c r="K27" s="16"/>
      <c r="L27" s="16"/>
      <c r="M27" s="12" t="s">
        <v>53</v>
      </c>
      <c r="N27" s="12"/>
      <c r="O27" s="12"/>
      <c r="P27" s="12"/>
      <c r="Q27" s="12"/>
    </row>
    <row r="28" spans="1:17" x14ac:dyDescent="0.25">
      <c r="A28" s="25">
        <v>45682</v>
      </c>
      <c r="B28" s="26" t="s">
        <v>38</v>
      </c>
      <c r="C28" s="27">
        <v>420</v>
      </c>
      <c r="D28" s="27"/>
      <c r="E28" s="27">
        <f>E27+Table3[[#This Row],[Debit (€)]]-Table3[[#This Row],[Credit (€)]]</f>
        <v>9880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</row>
    <row r="29" spans="1:17" x14ac:dyDescent="0.25">
      <c r="A29" s="25">
        <v>45683</v>
      </c>
      <c r="B29" s="26" t="s">
        <v>38</v>
      </c>
      <c r="C29" s="27">
        <v>460</v>
      </c>
      <c r="D29" s="27"/>
      <c r="E29" s="27">
        <f>E28+Table3[[#This Row],[Debit (€)]]-Table3[[#This Row],[Credit (€)]]</f>
        <v>10340</v>
      </c>
      <c r="F29" s="16"/>
      <c r="G29" s="16"/>
      <c r="H29" s="16"/>
      <c r="I29" s="16"/>
      <c r="J29" s="16"/>
      <c r="K29" s="16"/>
      <c r="L29" s="16"/>
      <c r="M29" s="16" t="s">
        <v>28</v>
      </c>
      <c r="N29" s="16" t="s">
        <v>29</v>
      </c>
      <c r="O29" s="16" t="s">
        <v>31</v>
      </c>
      <c r="P29" s="16" t="s">
        <v>32</v>
      </c>
      <c r="Q29" s="16" t="s">
        <v>48</v>
      </c>
    </row>
    <row r="30" spans="1:17" x14ac:dyDescent="0.25">
      <c r="A30" s="25">
        <v>45684</v>
      </c>
      <c r="B30" s="26" t="s">
        <v>47</v>
      </c>
      <c r="C30" s="27"/>
      <c r="D30" s="27">
        <v>350</v>
      </c>
      <c r="E30" s="27">
        <f>E29+Table3[[#This Row],[Debit (€)]]-Table3[[#This Row],[Credit (€)]]</f>
        <v>9990</v>
      </c>
      <c r="F30" s="16"/>
      <c r="G30" s="16"/>
      <c r="H30" s="16"/>
      <c r="I30" s="16"/>
      <c r="J30" s="16"/>
      <c r="K30" s="16"/>
      <c r="L30" s="16"/>
      <c r="M30" s="14">
        <v>45661</v>
      </c>
      <c r="N30" s="15" t="s">
        <v>37</v>
      </c>
      <c r="O30" s="20">
        <v>800</v>
      </c>
      <c r="P30" s="20"/>
      <c r="Q30" s="29">
        <v>800</v>
      </c>
    </row>
    <row r="31" spans="1:17" x14ac:dyDescent="0.25">
      <c r="A31" s="25">
        <v>45685</v>
      </c>
      <c r="B31" s="26" t="s">
        <v>38</v>
      </c>
      <c r="C31" s="27">
        <v>430</v>
      </c>
      <c r="D31" s="27"/>
      <c r="E31" s="27">
        <f>E30+Table3[[#This Row],[Debit (€)]]-Table3[[#This Row],[Credit (€)]]</f>
        <v>10420</v>
      </c>
      <c r="F31" s="16"/>
      <c r="G31" s="16"/>
      <c r="H31" s="16"/>
      <c r="I31" s="16"/>
      <c r="J31" s="16"/>
      <c r="K31" s="16"/>
      <c r="L31" s="16"/>
      <c r="M31" s="33">
        <v>45664</v>
      </c>
      <c r="N31" s="34" t="s">
        <v>39</v>
      </c>
      <c r="O31" s="35">
        <v>120</v>
      </c>
      <c r="P31" s="20"/>
      <c r="Q31" s="20">
        <f>Q30+Table379[[#This Row],[Debit (€)]]</f>
        <v>920</v>
      </c>
    </row>
    <row r="32" spans="1:17" x14ac:dyDescent="0.25">
      <c r="A32" s="25">
        <v>45686</v>
      </c>
      <c r="B32" s="26" t="s">
        <v>38</v>
      </c>
      <c r="C32" s="27">
        <v>400</v>
      </c>
      <c r="D32" s="27"/>
      <c r="E32" s="27">
        <f>E31+Table3[[#This Row],[Debit (€)]]-Table3[[#This Row],[Credit (€)]]</f>
        <v>10820</v>
      </c>
      <c r="F32" s="16"/>
      <c r="G32" s="16"/>
      <c r="H32" s="16"/>
      <c r="I32" s="16"/>
      <c r="J32" s="16"/>
      <c r="K32" s="16"/>
      <c r="L32" s="16"/>
      <c r="M32" s="36">
        <v>45666</v>
      </c>
      <c r="N32" s="37" t="s">
        <v>40</v>
      </c>
      <c r="O32" s="38">
        <v>150</v>
      </c>
      <c r="P32" s="20"/>
      <c r="Q32" s="20">
        <f>Q31+Table379[[#This Row],[Debit (€)]]</f>
        <v>1070</v>
      </c>
    </row>
    <row r="33" spans="1:17" x14ac:dyDescent="0.25">
      <c r="A33" s="25">
        <v>45687</v>
      </c>
      <c r="B33" s="26" t="s">
        <v>38</v>
      </c>
      <c r="C33" s="27">
        <v>480</v>
      </c>
      <c r="D33" s="27"/>
      <c r="E33" s="39">
        <f>E32+Table3[[#This Row],[Debit (€)]]-Table3[[#This Row],[Credit (€)]]</f>
        <v>11300</v>
      </c>
      <c r="F33" s="16"/>
      <c r="G33" s="16"/>
      <c r="H33" s="16"/>
      <c r="I33" s="16"/>
      <c r="J33" s="16"/>
      <c r="K33" s="16"/>
      <c r="L33" s="16"/>
      <c r="M33" s="14">
        <v>45671</v>
      </c>
      <c r="N33" s="15" t="s">
        <v>42</v>
      </c>
      <c r="O33" s="20">
        <v>900</v>
      </c>
      <c r="P33" s="20"/>
      <c r="Q33" s="20">
        <f>Q32+Table379[[#This Row],[Debit (€)]]</f>
        <v>1970</v>
      </c>
    </row>
    <row r="34" spans="1:17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33">
        <v>45675</v>
      </c>
      <c r="N34" s="34" t="s">
        <v>44</v>
      </c>
      <c r="O34" s="35">
        <v>90</v>
      </c>
      <c r="P34" s="20"/>
      <c r="Q34" s="20">
        <f>Q33+Table379[[#This Row],[Debit (€)]]</f>
        <v>2060</v>
      </c>
    </row>
    <row r="35" spans="1:17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36">
        <v>45678</v>
      </c>
      <c r="N35" s="37" t="s">
        <v>45</v>
      </c>
      <c r="O35" s="38">
        <v>80</v>
      </c>
      <c r="P35" s="20"/>
      <c r="Q35" s="28">
        <f>Q34+Table379[[#This Row],[Debit (€)]]</f>
        <v>2140</v>
      </c>
    </row>
    <row r="36" spans="1:17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20"/>
      <c r="P36" s="20"/>
      <c r="Q36" s="20"/>
    </row>
    <row r="37" spans="1:17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</row>
    <row r="38" spans="1:17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</row>
    <row r="39" spans="1:17" x14ac:dyDescent="0.2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</row>
    <row r="40" spans="1:17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</row>
  </sheetData>
  <mergeCells count="6">
    <mergeCell ref="N12:P12"/>
    <mergeCell ref="N2:P2"/>
    <mergeCell ref="M19:Q19"/>
    <mergeCell ref="G2:K2"/>
    <mergeCell ref="A2:E2"/>
    <mergeCell ref="M27:Q27"/>
  </mergeCell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4C863-4837-4D01-A858-E24D08BCF7E0}">
  <dimension ref="A1:C15"/>
  <sheetViews>
    <sheetView workbookViewId="0">
      <selection activeCell="B11" sqref="B11"/>
    </sheetView>
  </sheetViews>
  <sheetFormatPr defaultRowHeight="15" x14ac:dyDescent="0.25"/>
  <cols>
    <col min="1" max="1" width="22.28515625" customWidth="1"/>
    <col min="2" max="2" width="17.140625" customWidth="1"/>
    <col min="3" max="3" width="17.5703125" customWidth="1"/>
  </cols>
  <sheetData>
    <row r="1" spans="1:3" ht="18.75" x14ac:dyDescent="0.3">
      <c r="A1" s="23" t="s">
        <v>58</v>
      </c>
      <c r="B1" s="23"/>
      <c r="C1" s="23"/>
    </row>
    <row r="3" spans="1:3" x14ac:dyDescent="0.25">
      <c r="A3" s="3" t="s">
        <v>2</v>
      </c>
      <c r="B3" s="3" t="s">
        <v>31</v>
      </c>
      <c r="C3" s="3" t="s">
        <v>33</v>
      </c>
    </row>
    <row r="4" spans="1:3" x14ac:dyDescent="0.25">
      <c r="A4" s="4" t="s">
        <v>3</v>
      </c>
      <c r="B4" s="17">
        <v>11300</v>
      </c>
      <c r="C4" s="17"/>
    </row>
    <row r="5" spans="1:3" x14ac:dyDescent="0.25">
      <c r="A5" s="4" t="s">
        <v>6</v>
      </c>
      <c r="B5" s="17">
        <v>1450</v>
      </c>
      <c r="C5" s="17"/>
    </row>
    <row r="6" spans="1:3" x14ac:dyDescent="0.25">
      <c r="A6" s="4" t="s">
        <v>7</v>
      </c>
      <c r="B6" s="17">
        <v>2000</v>
      </c>
      <c r="C6" s="17"/>
    </row>
    <row r="7" spans="1:3" x14ac:dyDescent="0.25">
      <c r="A7" s="4" t="s">
        <v>16</v>
      </c>
      <c r="B7" s="21">
        <v>800</v>
      </c>
      <c r="C7" s="17"/>
    </row>
    <row r="8" spans="1:3" x14ac:dyDescent="0.25">
      <c r="A8" s="4" t="s">
        <v>18</v>
      </c>
      <c r="B8" s="18">
        <v>900</v>
      </c>
      <c r="C8" s="17"/>
    </row>
    <row r="9" spans="1:3" x14ac:dyDescent="0.25">
      <c r="A9" s="4" t="s">
        <v>19</v>
      </c>
      <c r="B9" s="18">
        <f>150+80</f>
        <v>230</v>
      </c>
      <c r="C9" s="17"/>
    </row>
    <row r="10" spans="1:3" x14ac:dyDescent="0.25">
      <c r="A10" s="4" t="s">
        <v>20</v>
      </c>
      <c r="B10" s="17">
        <f>120+90</f>
        <v>210</v>
      </c>
      <c r="C10" s="17"/>
    </row>
    <row r="11" spans="1:3" x14ac:dyDescent="0.25">
      <c r="A11" s="4" t="s">
        <v>13</v>
      </c>
      <c r="B11" s="17">
        <v>300</v>
      </c>
      <c r="C11" s="17"/>
    </row>
    <row r="12" spans="1:3" x14ac:dyDescent="0.25">
      <c r="A12" s="4" t="s">
        <v>14</v>
      </c>
      <c r="B12" s="17"/>
      <c r="C12" s="21">
        <v>7190</v>
      </c>
    </row>
    <row r="13" spans="1:3" x14ac:dyDescent="0.25">
      <c r="A13" s="4" t="s">
        <v>11</v>
      </c>
      <c r="B13" s="17"/>
      <c r="C13" s="17">
        <v>10000</v>
      </c>
    </row>
    <row r="14" spans="1:3" x14ac:dyDescent="0.25">
      <c r="A14" s="4" t="s">
        <v>8</v>
      </c>
      <c r="B14" s="17"/>
      <c r="C14" s="17">
        <v>0</v>
      </c>
    </row>
    <row r="15" spans="1:3" x14ac:dyDescent="0.25">
      <c r="A15" s="22" t="s">
        <v>57</v>
      </c>
      <c r="B15" s="19">
        <f>SUM(B4:B14)</f>
        <v>17190</v>
      </c>
      <c r="C15" s="19">
        <f>SUM(C4:C14)</f>
        <v>17190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0ED41-B415-410C-9420-12FB16913B70}">
  <dimension ref="A2:B18"/>
  <sheetViews>
    <sheetView workbookViewId="0">
      <selection activeCell="B18" sqref="B18"/>
    </sheetView>
  </sheetViews>
  <sheetFormatPr defaultRowHeight="15" x14ac:dyDescent="0.25"/>
  <cols>
    <col min="1" max="1" width="34.28515625" customWidth="1"/>
    <col min="2" max="2" width="23.28515625" customWidth="1"/>
  </cols>
  <sheetData>
    <row r="2" spans="1:2" ht="15.75" x14ac:dyDescent="0.25">
      <c r="A2" s="40" t="s">
        <v>61</v>
      </c>
      <c r="B2" s="4"/>
    </row>
    <row r="3" spans="1:2" ht="15.75" x14ac:dyDescent="0.25">
      <c r="A3" s="40" t="s">
        <v>62</v>
      </c>
      <c r="B3" s="4"/>
    </row>
    <row r="6" spans="1:2" x14ac:dyDescent="0.25">
      <c r="A6" s="4" t="s">
        <v>68</v>
      </c>
      <c r="B6" s="4" t="s">
        <v>69</v>
      </c>
    </row>
    <row r="7" spans="1:2" x14ac:dyDescent="0.25">
      <c r="A7" s="22" t="s">
        <v>63</v>
      </c>
      <c r="B7" s="4"/>
    </row>
    <row r="8" spans="1:2" x14ac:dyDescent="0.25">
      <c r="A8" s="4" t="s">
        <v>14</v>
      </c>
      <c r="B8" s="21">
        <v>7190</v>
      </c>
    </row>
    <row r="9" spans="1:2" x14ac:dyDescent="0.25">
      <c r="A9" s="22" t="s">
        <v>64</v>
      </c>
      <c r="B9" s="17">
        <f>SUM(B8)</f>
        <v>7190</v>
      </c>
    </row>
    <row r="10" spans="1:2" x14ac:dyDescent="0.25">
      <c r="A10" s="4"/>
      <c r="B10" s="4"/>
    </row>
    <row r="11" spans="1:2" x14ac:dyDescent="0.25">
      <c r="A11" s="22" t="s">
        <v>65</v>
      </c>
      <c r="B11" s="4"/>
    </row>
    <row r="12" spans="1:2" x14ac:dyDescent="0.25">
      <c r="A12" s="4" t="s">
        <v>16</v>
      </c>
      <c r="B12" s="21">
        <v>800</v>
      </c>
    </row>
    <row r="13" spans="1:2" x14ac:dyDescent="0.25">
      <c r="A13" s="4" t="s">
        <v>19</v>
      </c>
      <c r="B13" s="18">
        <f>150+80</f>
        <v>230</v>
      </c>
    </row>
    <row r="14" spans="1:2" x14ac:dyDescent="0.25">
      <c r="A14" s="4" t="s">
        <v>18</v>
      </c>
      <c r="B14" s="18">
        <v>900</v>
      </c>
    </row>
    <row r="15" spans="1:2" x14ac:dyDescent="0.25">
      <c r="A15" s="4" t="s">
        <v>20</v>
      </c>
      <c r="B15" s="17">
        <f>120+90</f>
        <v>210</v>
      </c>
    </row>
    <row r="16" spans="1:2" x14ac:dyDescent="0.25">
      <c r="A16" s="22" t="s">
        <v>66</v>
      </c>
      <c r="B16" s="17">
        <f>SUM(B12:B15)</f>
        <v>2140</v>
      </c>
    </row>
    <row r="17" spans="1:2" x14ac:dyDescent="0.25">
      <c r="A17" s="4"/>
      <c r="B17" s="4"/>
    </row>
    <row r="18" spans="1:2" x14ac:dyDescent="0.25">
      <c r="A18" s="22" t="s">
        <v>67</v>
      </c>
      <c r="B18" s="41">
        <f>B9-B16</f>
        <v>5050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88A01-75CB-48DA-89BE-EEFA6C171ED8}">
  <dimension ref="A1:B21"/>
  <sheetViews>
    <sheetView workbookViewId="0">
      <selection activeCell="B21" sqref="B21"/>
    </sheetView>
  </sheetViews>
  <sheetFormatPr defaultRowHeight="15" x14ac:dyDescent="0.25"/>
  <cols>
    <col min="1" max="1" width="26.140625" customWidth="1"/>
    <col min="2" max="2" width="22.28515625" customWidth="1"/>
  </cols>
  <sheetData>
    <row r="1" spans="1:2" x14ac:dyDescent="0.25">
      <c r="A1" s="3"/>
      <c r="B1" s="3"/>
    </row>
    <row r="2" spans="1:2" ht="31.5" x14ac:dyDescent="0.25">
      <c r="A2" s="40" t="s">
        <v>70</v>
      </c>
      <c r="B2" s="4"/>
    </row>
    <row r="3" spans="1:2" ht="15.75" x14ac:dyDescent="0.25">
      <c r="A3" s="40" t="s">
        <v>71</v>
      </c>
      <c r="B3" s="4"/>
    </row>
    <row r="4" spans="1:2" x14ac:dyDescent="0.25">
      <c r="A4" s="4"/>
      <c r="B4" s="4"/>
    </row>
    <row r="5" spans="1:2" x14ac:dyDescent="0.25">
      <c r="A5" s="22" t="s">
        <v>72</v>
      </c>
      <c r="B5" s="4" t="s">
        <v>69</v>
      </c>
    </row>
    <row r="6" spans="1:2" x14ac:dyDescent="0.25">
      <c r="A6" s="4" t="s">
        <v>3</v>
      </c>
      <c r="B6" s="17">
        <v>11300</v>
      </c>
    </row>
    <row r="7" spans="1:2" x14ac:dyDescent="0.25">
      <c r="A7" s="4" t="s">
        <v>6</v>
      </c>
      <c r="B7" s="17">
        <v>1450</v>
      </c>
    </row>
    <row r="8" spans="1:2" x14ac:dyDescent="0.25">
      <c r="A8" s="4" t="s">
        <v>7</v>
      </c>
      <c r="B8" s="17">
        <v>2000</v>
      </c>
    </row>
    <row r="9" spans="1:2" x14ac:dyDescent="0.25">
      <c r="A9" s="22" t="s">
        <v>73</v>
      </c>
      <c r="B9" s="42">
        <f>SUM(B6:B8)</f>
        <v>14750</v>
      </c>
    </row>
    <row r="10" spans="1:2" x14ac:dyDescent="0.25">
      <c r="A10" s="4"/>
      <c r="B10" s="4"/>
    </row>
    <row r="11" spans="1:2" x14ac:dyDescent="0.25">
      <c r="A11" s="43" t="s">
        <v>74</v>
      </c>
      <c r="B11" s="44"/>
    </row>
    <row r="12" spans="1:2" x14ac:dyDescent="0.25">
      <c r="A12" s="4" t="s">
        <v>8</v>
      </c>
      <c r="B12" s="4">
        <v>0</v>
      </c>
    </row>
    <row r="13" spans="1:2" x14ac:dyDescent="0.25">
      <c r="A13" s="22" t="s">
        <v>75</v>
      </c>
      <c r="B13" s="22">
        <f>SUM(B12)</f>
        <v>0</v>
      </c>
    </row>
    <row r="14" spans="1:2" x14ac:dyDescent="0.25">
      <c r="A14" s="4"/>
      <c r="B14" s="4"/>
    </row>
    <row r="15" spans="1:2" x14ac:dyDescent="0.25">
      <c r="A15" s="43" t="s">
        <v>76</v>
      </c>
      <c r="B15" s="44"/>
    </row>
    <row r="16" spans="1:2" x14ac:dyDescent="0.25">
      <c r="A16" s="4" t="s">
        <v>11</v>
      </c>
      <c r="B16" s="17">
        <v>10000</v>
      </c>
    </row>
    <row r="17" spans="1:2" x14ac:dyDescent="0.25">
      <c r="A17" s="4" t="s">
        <v>77</v>
      </c>
      <c r="B17" s="17">
        <v>5050</v>
      </c>
    </row>
    <row r="18" spans="1:2" x14ac:dyDescent="0.25">
      <c r="A18" s="4" t="s">
        <v>78</v>
      </c>
      <c r="B18" s="17">
        <v>-300</v>
      </c>
    </row>
    <row r="19" spans="1:2" x14ac:dyDescent="0.25">
      <c r="A19" s="22" t="s">
        <v>79</v>
      </c>
      <c r="B19" s="42">
        <f>SUM(B16:B18)</f>
        <v>14750</v>
      </c>
    </row>
    <row r="20" spans="1:2" x14ac:dyDescent="0.25">
      <c r="A20" s="4"/>
      <c r="B20" s="4"/>
    </row>
    <row r="21" spans="1:2" x14ac:dyDescent="0.25">
      <c r="A21" s="22" t="s">
        <v>80</v>
      </c>
      <c r="B21" s="45">
        <f>B13+B19</f>
        <v>14750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 Overview</vt:lpstr>
      <vt:lpstr>Chart of Accounts</vt:lpstr>
      <vt:lpstr>Journal_Entries</vt:lpstr>
      <vt:lpstr>General Ledger</vt:lpstr>
      <vt:lpstr>Trial Balance </vt:lpstr>
      <vt:lpstr>Income Statement</vt:lpstr>
      <vt:lpstr>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Sharma</dc:creator>
  <cp:lastModifiedBy>Nidhi Sharma</cp:lastModifiedBy>
  <dcterms:created xsi:type="dcterms:W3CDTF">2026-03-11T10:56:26Z</dcterms:created>
  <dcterms:modified xsi:type="dcterms:W3CDTF">2026-03-12T17:09:02Z</dcterms:modified>
</cp:coreProperties>
</file>